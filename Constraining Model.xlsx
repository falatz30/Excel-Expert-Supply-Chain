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hF\Desktop\Excel\"/>
    </mc:Choice>
  </mc:AlternateContent>
  <xr:revisionPtr revIDLastSave="0" documentId="13_ncr:1_{18D4FC98-A5E2-4123-9927-9E4C184FE0EC}" xr6:coauthVersionLast="47" xr6:coauthVersionMax="47" xr10:uidLastSave="{00000000-0000-0000-0000-000000000000}"/>
  <bookViews>
    <workbookView xWindow="-24120" yWindow="-120" windowWidth="24240" windowHeight="13020" xr2:uid="{F1071FBE-1481-40C0-A7DD-189F6F2720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D2" i="1" s="1" a="1"/>
  <c r="D2" i="1" s="1"/>
  <c r="B2" i="1" a="1"/>
  <c r="B2" i="1" s="1"/>
  <c r="D19" i="1" l="1" a="1"/>
  <c r="D19" i="1" s="1"/>
  <c r="I8" i="1" s="1" a="1"/>
  <c r="I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<sst xmlns="http://schemas.openxmlformats.org/spreadsheetml/2006/main" count="12" uniqueCount="11">
  <si>
    <t>FY</t>
  </si>
  <si>
    <t>MetricA</t>
  </si>
  <si>
    <t>MetricB</t>
  </si>
  <si>
    <t>Target-MetricA</t>
  </si>
  <si>
    <t>ConstA</t>
  </si>
  <si>
    <t>Shuffle:</t>
  </si>
  <si>
    <t>No</t>
  </si>
  <si>
    <t>Non-Shuffle Data</t>
  </si>
  <si>
    <t>FY27</t>
  </si>
  <si>
    <t>FY26</t>
  </si>
  <si>
    <t>Pivot: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</si>
</sst>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FA3AC-FE7A-4196-A4C1-9C74DD825371}">
  <dimension ref="A1:W35"/>
  <sheetViews>
    <sheetView tabSelected="1" workbookViewId="0">
      <selection activeCell="K1" activeCellId="1" sqref="G2:G3 K1"/>
    </sheetView>
  </sheetViews>
  <sheetFormatPr defaultRowHeight="15" x14ac:dyDescent="0.25"/>
  <cols>
    <col min="7" max="7" width="13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4</v>
      </c>
      <c r="F1" t="s">
        <v>0</v>
      </c>
      <c r="G1" t="s">
        <v>3</v>
      </c>
      <c r="J1" t="s">
        <v>5</v>
      </c>
      <c r="K1" s="2" t="s">
        <v>6</v>
      </c>
      <c r="V1" t="s">
        <v>7</v>
      </c>
    </row>
    <row r="2" spans="1:23" x14ac:dyDescent="0.25">
      <c r="A2" t="str" cm="1">
        <f t="array" ref="A2:A35">"FY"&amp;25+_xlfn.LET(_xlpm.f,_xlfn.LAMBDA(_xlpm.x,_xlpm.y,_xlpm.y+_xlfn.MAKEARRAY(_xlpm.x,1,_xlfn.LAMBDA(_xlpm.a,_xlpm.b,0))),_xlfn.VSTACK(_xlpm.f(17,1),_xlpm.f(17,2)))</f>
        <v>FY26</v>
      </c>
      <c r="B2" cm="1">
        <f t="array" aca="1" ref="B2:C35" ca="1">IF(K1="No",V2:W35,_xlfn.HSTACK(_xlfn.RANDARRAY(34,1,15,150,TRUE),ROUND(_xlfn.RANDARRAY(34,1,0,7,FALSE),2)))</f>
        <v>96</v>
      </c>
      <c r="C2">
        <f ca="1"/>
        <v>4.53</v>
      </c>
      <c r="D2" t="str" cm="1">
        <f t="array" aca="1" ref="D2:D18" ca="1">_xlfn.LET(_xlpm.fo,MATCH(A2,A:A,0),_xlpm.lo,IFERROR(_xlfn.XMATCH(A2,A:A,0,-1),COUNTA(A:A)-1),_xlpm.marker,_xlfn.XLOOKUP(A2,$F$2:$F$3,$G$2:$G$3),_xlpm.input,OFFSET($B$1,_xlpm.fo-1,0,_xlpm.lo-_xlpm.fo+1),_xlpm.df,_xlfn.HSTACK(_xlpm.input,_xlfn.SEQUENCE(ROWS(_xlpm.input)),_xlfn.SEQUENCE(ROWS(_xlpm.input),,ROWS(_xlpm.input),-1)),_xlpm.xl,_xlfn.HSTACK(_xlpm.df,_xlfn.XLOOKUP(INDEX(_xlpm.df,,2),INDEX(_xlpm.df,,3),INDEX(_xlpm.df,,1),,0)),_xlpm.col,_xlfn.TOCOL(_xlfn.CHOOSECOLS(_xlpm.xl,1,4)),_xlpm.result,MATCH(_xlpm.marker,SUM(INDEX(_xlpm.df,,1))-_xlfn.SCAN(0,_xlpm.col,_xleta.SUM),-1)+1,_xlpm.output,_xlfn.VSTACK(_xlfn.MAKEARRAY((_xlpm.result-IF(MOD(_xlpm.result,2)=0,0,-1))/2,1,_xlfn.LAMBDA(_xlpm.a,_xlpm.b,"X")),_xlfn.MAKEARRAY(ROWS(_xlpm.df)-_xlpm.result,1,_xlfn.LAMBDA(_xlpm.a,_xlpm.b,"")),_xlfn.MAKEARRAY((_xlpm.result-IF(MOD(_xlpm.result,2)=0,0,1))/2,1,_xlfn.LAMBDA(_xlpm.a,_xlpm.b,"X"))),_xlfn.IFNA(_xlpm.output,_xlfn.MAKEARRAY(_xlpm.lo-_xlpm.fo+1,1,_xlfn.LAMBDA(_xlpm.a,_xlpm.b,""))))</f>
        <v>X</v>
      </c>
      <c r="F2" t="s">
        <v>9</v>
      </c>
      <c r="G2" s="2">
        <v>1000</v>
      </c>
      <c r="V2">
        <v>96</v>
      </c>
      <c r="W2">
        <v>4.53</v>
      </c>
    </row>
    <row r="3" spans="1:23" x14ac:dyDescent="0.25">
      <c r="A3" t="str">
        <v>FY26</v>
      </c>
      <c r="B3">
        <f ca="1"/>
        <v>86</v>
      </c>
      <c r="C3">
        <f ca="1"/>
        <v>4.43</v>
      </c>
      <c r="D3" t="str">
        <f ca="1"/>
        <v>X</v>
      </c>
      <c r="F3" t="s">
        <v>8</v>
      </c>
      <c r="G3" s="2">
        <v>1200</v>
      </c>
      <c r="V3">
        <v>86</v>
      </c>
      <c r="W3">
        <v>4.43</v>
      </c>
    </row>
    <row r="4" spans="1:23" x14ac:dyDescent="0.25">
      <c r="A4" t="str">
        <v>FY26</v>
      </c>
      <c r="B4">
        <f ca="1"/>
        <v>133</v>
      </c>
      <c r="C4">
        <f ca="1"/>
        <v>6.48</v>
      </c>
      <c r="D4" t="str">
        <f ca="1"/>
        <v>X</v>
      </c>
      <c r="V4">
        <v>133</v>
      </c>
      <c r="W4">
        <v>6.48</v>
      </c>
    </row>
    <row r="5" spans="1:23" x14ac:dyDescent="0.25">
      <c r="A5" t="str">
        <v>FY26</v>
      </c>
      <c r="B5">
        <f ca="1"/>
        <v>56</v>
      </c>
      <c r="C5">
        <f ca="1"/>
        <v>6.75</v>
      </c>
      <c r="D5" t="str">
        <f ca="1"/>
        <v/>
      </c>
      <c r="V5">
        <v>56</v>
      </c>
      <c r="W5">
        <v>6.75</v>
      </c>
    </row>
    <row r="6" spans="1:23" x14ac:dyDescent="0.25">
      <c r="A6" t="str">
        <v>FY26</v>
      </c>
      <c r="B6">
        <f ca="1"/>
        <v>78</v>
      </c>
      <c r="C6">
        <f ca="1"/>
        <v>5.4</v>
      </c>
      <c r="D6" t="str">
        <f ca="1"/>
        <v/>
      </c>
      <c r="V6">
        <v>78</v>
      </c>
      <c r="W6">
        <v>5.4</v>
      </c>
    </row>
    <row r="7" spans="1:23" x14ac:dyDescent="0.25">
      <c r="A7" t="str">
        <v>FY26</v>
      </c>
      <c r="B7">
        <f ca="1"/>
        <v>88</v>
      </c>
      <c r="C7">
        <f ca="1"/>
        <v>4.28</v>
      </c>
      <c r="D7" t="str">
        <f ca="1"/>
        <v/>
      </c>
      <c r="I7" t="s">
        <v>10</v>
      </c>
      <c r="V7">
        <v>88</v>
      </c>
      <c r="W7">
        <v>4.28</v>
      </c>
    </row>
    <row r="8" spans="1:23" x14ac:dyDescent="0.25">
      <c r="A8" t="str">
        <v>FY26</v>
      </c>
      <c r="B8">
        <f ca="1"/>
        <v>29</v>
      </c>
      <c r="C8">
        <f ca="1"/>
        <v>1.75</v>
      </c>
      <c r="D8" t="str">
        <f ca="1"/>
        <v/>
      </c>
      <c r="I8" s="1" t="str" cm="1">
        <f t="array" aca="1" ref="I8:L12" ca="1">_xlfn.IFNA(_xlfn.VSTACK(_xlfn.HSTACK("","ConstA"),_xlfn.PIVOTBY(_xlfn.VSTACK(A1,_xlfn.ANCHORARRAY(A2)),D1:D35,B1:B35,_xleta.SUM)),"")</f>
        <v/>
      </c>
      <c r="J8" s="1" t="str">
        <f ca="1"/>
        <v>ConstA</v>
      </c>
      <c r="K8" s="1" t="str">
        <f ca="1"/>
        <v/>
      </c>
      <c r="L8" s="1" t="str">
        <f ca="1"/>
        <v/>
      </c>
      <c r="M8" s="1"/>
      <c r="V8">
        <v>29</v>
      </c>
      <c r="W8">
        <v>1.75</v>
      </c>
    </row>
    <row r="9" spans="1:23" x14ac:dyDescent="0.25">
      <c r="A9" t="str">
        <v>FY26</v>
      </c>
      <c r="B9">
        <f ca="1"/>
        <v>141</v>
      </c>
      <c r="C9">
        <f ca="1"/>
        <v>0.43</v>
      </c>
      <c r="D9" t="str">
        <f ca="1"/>
        <v/>
      </c>
      <c r="I9" s="1" t="str">
        <f ca="1"/>
        <v/>
      </c>
      <c r="J9" s="1" t="str">
        <f ca="1"/>
        <v/>
      </c>
      <c r="K9" s="1" t="str">
        <f ca="1"/>
        <v>X</v>
      </c>
      <c r="L9" s="1" t="str">
        <f ca="1"/>
        <v>Total</v>
      </c>
      <c r="M9" s="1"/>
      <c r="V9">
        <v>141</v>
      </c>
      <c r="W9">
        <v>0.43</v>
      </c>
    </row>
    <row r="10" spans="1:23" x14ac:dyDescent="0.25">
      <c r="A10" t="str">
        <v>FY26</v>
      </c>
      <c r="B10">
        <f ca="1"/>
        <v>87</v>
      </c>
      <c r="C10">
        <f ca="1"/>
        <v>0.14000000000000001</v>
      </c>
      <c r="D10" t="str">
        <f ca="1"/>
        <v/>
      </c>
      <c r="I10" s="1" t="str">
        <f ca="1"/>
        <v>FY26</v>
      </c>
      <c r="J10" s="1">
        <f ca="1"/>
        <v>877</v>
      </c>
      <c r="K10" s="1">
        <f ca="1"/>
        <v>413</v>
      </c>
      <c r="L10" s="1">
        <f ca="1"/>
        <v>1290</v>
      </c>
      <c r="M10" s="1"/>
      <c r="V10">
        <v>87</v>
      </c>
      <c r="W10">
        <v>0.14000000000000001</v>
      </c>
    </row>
    <row r="11" spans="1:23" x14ac:dyDescent="0.25">
      <c r="A11" t="str">
        <v>FY26</v>
      </c>
      <c r="B11">
        <f ca="1"/>
        <v>140</v>
      </c>
      <c r="C11">
        <f ca="1"/>
        <v>6.24</v>
      </c>
      <c r="D11" t="str">
        <f ca="1"/>
        <v/>
      </c>
      <c r="I11" s="1" t="str">
        <f ca="1"/>
        <v>FY27</v>
      </c>
      <c r="J11" s="1">
        <f ca="1"/>
        <v>1109</v>
      </c>
      <c r="K11" s="1">
        <f ca="1"/>
        <v>317</v>
      </c>
      <c r="L11" s="1">
        <f ca="1"/>
        <v>1426</v>
      </c>
      <c r="M11" s="1"/>
      <c r="V11">
        <v>140</v>
      </c>
      <c r="W11">
        <v>6.24</v>
      </c>
    </row>
    <row r="12" spans="1:23" x14ac:dyDescent="0.25">
      <c r="A12" t="str">
        <v>FY26</v>
      </c>
      <c r="B12">
        <f ca="1"/>
        <v>79</v>
      </c>
      <c r="C12">
        <f ca="1"/>
        <v>0.45</v>
      </c>
      <c r="D12" t="str">
        <f ca="1"/>
        <v/>
      </c>
      <c r="I12" s="1" t="str">
        <f ca="1"/>
        <v>Total</v>
      </c>
      <c r="J12" s="1">
        <f ca="1"/>
        <v>1986</v>
      </c>
      <c r="K12" s="1">
        <f ca="1"/>
        <v>730</v>
      </c>
      <c r="L12" s="1">
        <f ca="1"/>
        <v>2716</v>
      </c>
      <c r="M12" s="1"/>
      <c r="V12">
        <v>79</v>
      </c>
      <c r="W12">
        <v>0.45</v>
      </c>
    </row>
    <row r="13" spans="1:23" x14ac:dyDescent="0.25">
      <c r="A13" t="str">
        <v>FY26</v>
      </c>
      <c r="B13">
        <f ca="1"/>
        <v>41</v>
      </c>
      <c r="C13">
        <f ca="1"/>
        <v>6.08</v>
      </c>
      <c r="D13" t="str">
        <f ca="1"/>
        <v/>
      </c>
      <c r="V13">
        <v>41</v>
      </c>
      <c r="W13">
        <v>6.08</v>
      </c>
    </row>
    <row r="14" spans="1:23" x14ac:dyDescent="0.25">
      <c r="A14" t="str">
        <v>FY26</v>
      </c>
      <c r="B14">
        <f ca="1"/>
        <v>31</v>
      </c>
      <c r="C14">
        <f ca="1"/>
        <v>3.72</v>
      </c>
      <c r="D14" t="str">
        <f ca="1"/>
        <v/>
      </c>
      <c r="V14">
        <v>31</v>
      </c>
      <c r="W14">
        <v>3.72</v>
      </c>
    </row>
    <row r="15" spans="1:23" x14ac:dyDescent="0.25">
      <c r="A15" t="str">
        <v>FY26</v>
      </c>
      <c r="B15">
        <f ca="1"/>
        <v>67</v>
      </c>
      <c r="C15">
        <f ca="1"/>
        <v>1.1100000000000001</v>
      </c>
      <c r="D15" t="str">
        <f ca="1"/>
        <v/>
      </c>
      <c r="V15">
        <v>67</v>
      </c>
      <c r="W15">
        <v>1.1100000000000001</v>
      </c>
    </row>
    <row r="16" spans="1:23" x14ac:dyDescent="0.25">
      <c r="A16" t="str">
        <v>FY26</v>
      </c>
      <c r="B16">
        <f ca="1"/>
        <v>40</v>
      </c>
      <c r="C16">
        <f ca="1"/>
        <v>1.86</v>
      </c>
      <c r="D16" t="str">
        <f ca="1"/>
        <v/>
      </c>
      <c r="V16">
        <v>40</v>
      </c>
      <c r="W16">
        <v>1.86</v>
      </c>
    </row>
    <row r="17" spans="1:23" x14ac:dyDescent="0.25">
      <c r="A17" t="str">
        <v>FY26</v>
      </c>
      <c r="B17">
        <f ca="1"/>
        <v>23</v>
      </c>
      <c r="C17">
        <f ca="1"/>
        <v>3.32</v>
      </c>
      <c r="D17" t="str">
        <f ca="1"/>
        <v>X</v>
      </c>
      <c r="V17">
        <v>23</v>
      </c>
      <c r="W17">
        <v>3.32</v>
      </c>
    </row>
    <row r="18" spans="1:23" x14ac:dyDescent="0.25">
      <c r="A18" t="str">
        <v>FY26</v>
      </c>
      <c r="B18">
        <f ca="1"/>
        <v>75</v>
      </c>
      <c r="C18">
        <f ca="1"/>
        <v>1.44</v>
      </c>
      <c r="D18" t="str">
        <f ca="1"/>
        <v>X</v>
      </c>
      <c r="V18">
        <v>75</v>
      </c>
      <c r="W18">
        <v>1.44</v>
      </c>
    </row>
    <row r="19" spans="1:23" x14ac:dyDescent="0.25">
      <c r="A19" t="str">
        <v>FY27</v>
      </c>
      <c r="B19">
        <f ca="1"/>
        <v>81</v>
      </c>
      <c r="C19">
        <f ca="1"/>
        <v>3.22</v>
      </c>
      <c r="D19" t="str" cm="1">
        <f t="array" aca="1" ref="D19:D35" ca="1">_xlfn.LET(_xlpm.fo,MATCH(A19,A:A,0),_xlpm.lo,IFERROR(_xlfn.XMATCH(A19,A:A,0,-1),COUNTA(A:A)-1),_xlpm.marker,_xlfn.XLOOKUP(A19,$F$2:$F$3,$G$2:$G$3),_xlpm.input,OFFSET($B$1,_xlpm.fo-1,0,_xlpm.lo-_xlpm.fo+1),_xlpm.df,_xlfn.HSTACK(_xlpm.input,_xlfn.SEQUENCE(ROWS(_xlpm.input)),_xlfn.SEQUENCE(ROWS(_xlpm.input),,ROWS(_xlpm.input),-1)),_xlpm.xl,_xlfn.HSTACK(_xlpm.df,_xlfn.XLOOKUP(INDEX(_xlpm.df,,2),INDEX(_xlpm.df,,3),INDEX(_xlpm.df,,1),,0)),_xlpm.col,_xlfn.TOCOL(_xlfn.CHOOSECOLS(_xlpm.xl,1,4)),_xlpm.result,MATCH(_xlpm.marker,SUM(INDEX(_xlpm.df,,1))-_xlfn.SCAN(0,_xlpm.col,_xleta.SUM),-1)+1,_xlpm.output,_xlfn.VSTACK(_xlfn.MAKEARRAY((_xlpm.result-IF(MOD(_xlpm.result,2)=0,0,-1))/2,1,_xlfn.LAMBDA(_xlpm.a,_xlpm.b,"X")),_xlfn.MAKEARRAY(ROWS(_xlpm.df)-_xlpm.result,1,_xlfn.LAMBDA(_xlpm.a,_xlpm.b,"")),_xlfn.MAKEARRAY((_xlpm.result-IF(MOD(_xlpm.result,2)=0,0,1))/2,1,_xlfn.LAMBDA(_xlpm.a,_xlpm.b,"X"))),_xlfn.IFNA(_xlpm.output,_xlfn.MAKEARRAY(_xlpm.lo-_xlpm.fo+1,1,_xlfn.LAMBDA(_xlpm.a,_xlpm.b,""))))</f>
        <v>X</v>
      </c>
      <c r="V19">
        <v>81</v>
      </c>
      <c r="W19">
        <v>3.22</v>
      </c>
    </row>
    <row r="20" spans="1:23" x14ac:dyDescent="0.25">
      <c r="A20" t="str">
        <v>FY27</v>
      </c>
      <c r="B20">
        <f ca="1"/>
        <v>118</v>
      </c>
      <c r="C20">
        <f ca="1"/>
        <v>2.76</v>
      </c>
      <c r="D20" t="str">
        <f ca="1"/>
        <v>X</v>
      </c>
      <c r="V20">
        <v>118</v>
      </c>
      <c r="W20">
        <v>2.76</v>
      </c>
    </row>
    <row r="21" spans="1:23" x14ac:dyDescent="0.25">
      <c r="A21" t="str">
        <v>FY27</v>
      </c>
      <c r="B21">
        <f ca="1"/>
        <v>131</v>
      </c>
      <c r="C21">
        <f ca="1"/>
        <v>1.97</v>
      </c>
      <c r="D21" t="str">
        <f ca="1"/>
        <v/>
      </c>
      <c r="V21">
        <v>131</v>
      </c>
      <c r="W21">
        <v>1.97</v>
      </c>
    </row>
    <row r="22" spans="1:23" x14ac:dyDescent="0.25">
      <c r="A22" t="str">
        <v>FY27</v>
      </c>
      <c r="B22">
        <f ca="1"/>
        <v>75</v>
      </c>
      <c r="C22">
        <f ca="1"/>
        <v>0.85</v>
      </c>
      <c r="D22" t="str">
        <f ca="1"/>
        <v/>
      </c>
      <c r="V22">
        <v>75</v>
      </c>
      <c r="W22">
        <v>0.85</v>
      </c>
    </row>
    <row r="23" spans="1:23" x14ac:dyDescent="0.25">
      <c r="A23" t="str">
        <v>FY27</v>
      </c>
      <c r="B23">
        <f ca="1"/>
        <v>41</v>
      </c>
      <c r="C23">
        <f ca="1"/>
        <v>4.75</v>
      </c>
      <c r="D23" t="str">
        <f ca="1"/>
        <v/>
      </c>
      <c r="V23">
        <v>41</v>
      </c>
      <c r="W23">
        <v>4.75</v>
      </c>
    </row>
    <row r="24" spans="1:23" x14ac:dyDescent="0.25">
      <c r="A24" t="str">
        <v>FY27</v>
      </c>
      <c r="B24">
        <f ca="1"/>
        <v>145</v>
      </c>
      <c r="C24">
        <f ca="1"/>
        <v>4.7699999999999996</v>
      </c>
      <c r="D24" t="str">
        <f ca="1"/>
        <v/>
      </c>
      <c r="V24">
        <v>145</v>
      </c>
      <c r="W24">
        <v>4.7699999999999996</v>
      </c>
    </row>
    <row r="25" spans="1:23" x14ac:dyDescent="0.25">
      <c r="A25" t="str">
        <v>FY27</v>
      </c>
      <c r="B25">
        <f ca="1"/>
        <v>19</v>
      </c>
      <c r="C25">
        <f ca="1"/>
        <v>1.91</v>
      </c>
      <c r="D25" t="str">
        <f ca="1"/>
        <v/>
      </c>
      <c r="V25">
        <v>19</v>
      </c>
      <c r="W25">
        <v>1.91</v>
      </c>
    </row>
    <row r="26" spans="1:23" x14ac:dyDescent="0.25">
      <c r="A26" t="str">
        <v>FY27</v>
      </c>
      <c r="B26">
        <f ca="1"/>
        <v>136</v>
      </c>
      <c r="C26">
        <f ca="1"/>
        <v>4.1100000000000003</v>
      </c>
      <c r="D26" t="str">
        <f ca="1"/>
        <v/>
      </c>
      <c r="V26">
        <v>136</v>
      </c>
      <c r="W26">
        <v>4.1100000000000003</v>
      </c>
    </row>
    <row r="27" spans="1:23" x14ac:dyDescent="0.25">
      <c r="A27" t="str">
        <v>FY27</v>
      </c>
      <c r="B27">
        <f ca="1"/>
        <v>21</v>
      </c>
      <c r="C27">
        <f ca="1"/>
        <v>4.25</v>
      </c>
      <c r="D27" t="str">
        <f ca="1"/>
        <v/>
      </c>
      <c r="V27">
        <v>21</v>
      </c>
      <c r="W27">
        <v>4.25</v>
      </c>
    </row>
    <row r="28" spans="1:23" x14ac:dyDescent="0.25">
      <c r="A28" t="str">
        <v>FY27</v>
      </c>
      <c r="B28">
        <f ca="1"/>
        <v>57</v>
      </c>
      <c r="C28">
        <f ca="1"/>
        <v>0.98</v>
      </c>
      <c r="D28" t="str">
        <f ca="1"/>
        <v/>
      </c>
      <c r="V28">
        <v>57</v>
      </c>
      <c r="W28">
        <v>0.98</v>
      </c>
    </row>
    <row r="29" spans="1:23" x14ac:dyDescent="0.25">
      <c r="A29" t="str">
        <v>FY27</v>
      </c>
      <c r="B29">
        <f ca="1"/>
        <v>52</v>
      </c>
      <c r="C29">
        <f ca="1"/>
        <v>6.55</v>
      </c>
      <c r="D29" t="str">
        <f ca="1"/>
        <v/>
      </c>
      <c r="V29">
        <v>52</v>
      </c>
      <c r="W29">
        <v>6.55</v>
      </c>
    </row>
    <row r="30" spans="1:23" x14ac:dyDescent="0.25">
      <c r="A30" t="str">
        <v>FY27</v>
      </c>
      <c r="B30">
        <f ca="1"/>
        <v>141</v>
      </c>
      <c r="C30">
        <f ca="1"/>
        <v>0.11</v>
      </c>
      <c r="D30" t="str">
        <f ca="1"/>
        <v/>
      </c>
      <c r="V30">
        <v>141</v>
      </c>
      <c r="W30">
        <v>0.11</v>
      </c>
    </row>
    <row r="31" spans="1:23" x14ac:dyDescent="0.25">
      <c r="A31" t="str">
        <v>FY27</v>
      </c>
      <c r="B31">
        <f ca="1"/>
        <v>62</v>
      </c>
      <c r="C31">
        <f ca="1"/>
        <v>0.04</v>
      </c>
      <c r="D31" t="str">
        <f ca="1"/>
        <v/>
      </c>
      <c r="V31">
        <v>62</v>
      </c>
      <c r="W31">
        <v>0.04</v>
      </c>
    </row>
    <row r="32" spans="1:23" x14ac:dyDescent="0.25">
      <c r="A32" t="str">
        <v>FY27</v>
      </c>
      <c r="B32">
        <f ca="1"/>
        <v>87</v>
      </c>
      <c r="C32">
        <f ca="1"/>
        <v>4.2699999999999996</v>
      </c>
      <c r="D32" t="str">
        <f ca="1"/>
        <v/>
      </c>
      <c r="V32">
        <v>87</v>
      </c>
      <c r="W32">
        <v>4.2699999999999996</v>
      </c>
    </row>
    <row r="33" spans="1:23" x14ac:dyDescent="0.25">
      <c r="A33" t="str">
        <v>FY27</v>
      </c>
      <c r="B33">
        <f ca="1"/>
        <v>120</v>
      </c>
      <c r="C33">
        <f ca="1"/>
        <v>6.48</v>
      </c>
      <c r="D33" t="str">
        <f ca="1"/>
        <v/>
      </c>
      <c r="V33">
        <v>120</v>
      </c>
      <c r="W33">
        <v>6.48</v>
      </c>
    </row>
    <row r="34" spans="1:23" x14ac:dyDescent="0.25">
      <c r="A34" t="str">
        <v>FY27</v>
      </c>
      <c r="B34">
        <f ca="1"/>
        <v>22</v>
      </c>
      <c r="C34">
        <f ca="1"/>
        <v>3.91</v>
      </c>
      <c r="D34" t="str">
        <f ca="1"/>
        <v/>
      </c>
      <c r="V34">
        <v>22</v>
      </c>
      <c r="W34">
        <v>3.91</v>
      </c>
    </row>
    <row r="35" spans="1:23" x14ac:dyDescent="0.25">
      <c r="A35" t="str">
        <v>FY27</v>
      </c>
      <c r="B35">
        <f ca="1"/>
        <v>118</v>
      </c>
      <c r="C35">
        <f ca="1"/>
        <v>6.47</v>
      </c>
      <c r="D35" t="str">
        <f ca="1"/>
        <v>X</v>
      </c>
      <c r="V35">
        <v>118</v>
      </c>
      <c r="W35">
        <v>6.47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2025-10-07T21:40:50Z</dcterms:created>
  <dcterms:modified xsi:type="dcterms:W3CDTF">2025-10-18T20:09:58Z</dcterms:modified>
</cp:coreProperties>
</file>