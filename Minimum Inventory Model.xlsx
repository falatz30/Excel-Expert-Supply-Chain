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F\Desktop\Excel\"/>
    </mc:Choice>
  </mc:AlternateContent>
  <xr:revisionPtr revIDLastSave="0" documentId="13_ncr:1_{F439593A-3CB1-42BC-BFB3-D9F37C40AE43}" xr6:coauthVersionLast="47" xr6:coauthVersionMax="47" xr10:uidLastSave="{00000000-0000-0000-0000-000000000000}"/>
  <bookViews>
    <workbookView xWindow="-120" yWindow="-120" windowWidth="29040" windowHeight="15720" activeTab="3" xr2:uid="{4C7A1581-7433-4ABA-BE68-43C5F4B97E1B}"/>
  </bookViews>
  <sheets>
    <sheet name="OH" sheetId="3" r:id="rId1"/>
    <sheet name="Supply" sheetId="5" r:id="rId2"/>
    <sheet name="Demand" sheetId="6" r:id="rId3"/>
    <sheet name="Min Inv" sheetId="7" r:id="rId4"/>
  </sheets>
  <definedNames>
    <definedName name="_xlnm._FilterDatabase" localSheetId="2" hidden="1">Demand!$A$1:$C$51</definedName>
    <definedName name="_xlnm._FilterDatabase" localSheetId="1" hidden="1">Supply!$A$1:$C$31</definedName>
    <definedName name="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 a="1"/>
  <c r="F2" i="5" s="1"/>
  <c r="B5" i="7" a="1"/>
  <c r="B5" i="7" s="1"/>
  <c r="B6" i="7" s="1" a="1"/>
  <c r="B6" i="7" s="1"/>
  <c r="C2" i="6" a="1"/>
  <c r="C2" i="6" s="1"/>
  <c r="B8" i="7" l="1" a="1"/>
  <c r="B8" i="7" s="1"/>
  <c r="B7" i="7" a="1"/>
  <c r="B7" i="7" s="1"/>
  <c r="B10" i="7" l="1" a="1"/>
  <c r="B10" i="7" s="1"/>
  <c r="O16" i="7" l="1" a="1"/>
  <c r="O16" i="7" s="1"/>
  <c r="B11" i="7" a="1"/>
  <c r="B11" i="7" s="1"/>
  <c r="L16" i="7" s="1" a="1"/>
  <c r="L16" i="7" s="1"/>
  <c r="K16" i="7" l="1" a="1"/>
  <c r="K16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<sst xmlns="http://schemas.openxmlformats.org/spreadsheetml/2006/main" count="113" uniqueCount="22">
  <si>
    <t>ID</t>
  </si>
  <si>
    <t>Date Stocked</t>
  </si>
  <si>
    <t>Qty</t>
  </si>
  <si>
    <t>b</t>
  </si>
  <si>
    <t>a</t>
  </si>
  <si>
    <t>c</t>
  </si>
  <si>
    <t>item</t>
  </si>
  <si>
    <t>manufacturing completion date</t>
  </si>
  <si>
    <t>Demand Date</t>
  </si>
  <si>
    <t>OH</t>
  </si>
  <si>
    <t>Supply</t>
  </si>
  <si>
    <t>Dem</t>
  </si>
  <si>
    <t>Net EOM Qty</t>
  </si>
  <si>
    <t>Do not shuffle</t>
  </si>
  <si>
    <t>Dem Fence Mths:</t>
  </si>
  <si>
    <t>Min Inv</t>
  </si>
  <si>
    <t>Production Orders to Cancel:</t>
  </si>
  <si>
    <t>Prod Ord</t>
  </si>
  <si>
    <t>Shortage End:</t>
  </si>
  <si>
    <t>Shortages Start:</t>
  </si>
  <si>
    <t xml:space="preserve">--insert either 'a','b', or 'c' to reprsent an item </t>
  </si>
  <si>
    <t>-- this parameter adjusts the demand time 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</si>
</sst>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quotePrefix="1"/>
    <xf numFmtId="0" fontId="0" fillId="2" borderId="0" xfId="0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  <a:r>
              <a:rPr lang="en-US" baseline="0"/>
              <a:t> Inventory vs Minimum Inventory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'Min Inv'!$A$10</c:f>
              <c:strCache>
                <c:ptCount val="1"/>
                <c:pt idx="0">
                  <c:v>Net EOM Qty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'Min Inv'!$B$5:$P$5</c:f>
              <c:numCache>
                <c:formatCode>m/d/yyyy</c:formatCode>
                <c:ptCount val="15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  <c:pt idx="12">
                  <c:v>46266</c:v>
                </c:pt>
                <c:pt idx="13">
                  <c:v>46296</c:v>
                </c:pt>
                <c:pt idx="14">
                  <c:v>46327</c:v>
                </c:pt>
              </c:numCache>
            </c:numRef>
          </c:cat>
          <c:val>
            <c:numRef>
              <c:f>'Min Inv'!$B$10:$P$10</c:f>
              <c:numCache>
                <c:formatCode>General</c:formatCode>
                <c:ptCount val="15"/>
                <c:pt idx="0">
                  <c:v>79</c:v>
                </c:pt>
                <c:pt idx="1">
                  <c:v>89</c:v>
                </c:pt>
                <c:pt idx="2">
                  <c:v>126</c:v>
                </c:pt>
                <c:pt idx="3">
                  <c:v>126</c:v>
                </c:pt>
                <c:pt idx="4">
                  <c:v>90</c:v>
                </c:pt>
                <c:pt idx="5">
                  <c:v>108</c:v>
                </c:pt>
                <c:pt idx="6">
                  <c:v>108</c:v>
                </c:pt>
                <c:pt idx="7">
                  <c:v>108</c:v>
                </c:pt>
                <c:pt idx="8">
                  <c:v>89</c:v>
                </c:pt>
                <c:pt idx="9">
                  <c:v>101</c:v>
                </c:pt>
                <c:pt idx="10">
                  <c:v>85</c:v>
                </c:pt>
                <c:pt idx="11">
                  <c:v>31</c:v>
                </c:pt>
                <c:pt idx="12">
                  <c:v>23</c:v>
                </c:pt>
                <c:pt idx="13">
                  <c:v>-37</c:v>
                </c:pt>
                <c:pt idx="14">
                  <c:v>-71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B0-44B1-A4ED-9ADC551EA912}"/>
            </c:ext>
          </c:extLst>
        </c:ser>
        <c:ser>
          <c:idx val="1"/>
          <c:order val="1"/>
          <c:tx>
            <c:strRef>
              <c:f>'Min Inv'!$A$11</c:f>
              <c:strCache>
                <c:ptCount val="1"/>
                <c:pt idx="0">
                  <c:v>Min Inv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'Min Inv'!$B$5:$P$5</c:f>
              <c:numCache>
                <c:formatCode>m/d/yyyy</c:formatCode>
                <c:ptCount val="15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  <c:pt idx="12">
                  <c:v>46266</c:v>
                </c:pt>
                <c:pt idx="13">
                  <c:v>46296</c:v>
                </c:pt>
                <c:pt idx="14">
                  <c:v>46327</c:v>
                </c:pt>
              </c:numCache>
            </c:numRef>
          </c:cat>
          <c:val>
            <c:numRef>
              <c:f>'Min Inv'!$B$11:$P$11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126</c:v>
                </c:pt>
                <c:pt idx="3">
                  <c:v>126</c:v>
                </c:pt>
                <c:pt idx="4">
                  <c:v>90</c:v>
                </c:pt>
                <c:pt idx="5">
                  <c:v>108</c:v>
                </c:pt>
                <c:pt idx="6">
                  <c:v>108</c:v>
                </c:pt>
                <c:pt idx="7">
                  <c:v>108</c:v>
                </c:pt>
                <c:pt idx="8">
                  <c:v>89</c:v>
                </c:pt>
                <c:pt idx="9">
                  <c:v>101</c:v>
                </c:pt>
                <c:pt idx="10">
                  <c:v>85</c:v>
                </c:pt>
                <c:pt idx="11">
                  <c:v>31</c:v>
                </c:pt>
                <c:pt idx="12">
                  <c:v>23</c:v>
                </c:pt>
                <c:pt idx="13">
                  <c:v>-37</c:v>
                </c:pt>
                <c:pt idx="14">
                  <c:v>-71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B0-44B1-A4ED-9ADC551EA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0717440"/>
        <c:axId val="1190716480"/>
      </c:lineChart>
      <c:dateAx>
        <c:axId val="119071744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716480"/>
        <c:crosses val="autoZero"/>
        <c:auto val="1"/>
        <c:lblOffset val="100"/>
        <c:baseTimeUnit val="months"/>
      </c:dateAx>
      <c:valAx>
        <c:axId val="11907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71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904875</xdr:colOff>
      <xdr:row>12</xdr:row>
      <xdr:rowOff>71437</xdr:rowOff>
    </xdr:from>
    <xdr:to>
      <xdr:col>8</xdr:col>
      <xdr:colOff>47625</xdr:colOff>
      <xdr:row>26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DBA17F-B469-57D6-1E36-DA5C04C52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0E16-C48F-4768-AD41-AC6BC29E8C69}">
  <dimension ref="B3:D12"/>
  <sheetViews>
    <sheetView workbookViewId="0">
      <selection activeCell="D13" sqref="D13"/>
    </sheetView>
  </sheetViews>
  <sheetFormatPr defaultRowHeight="15" x14ac:dyDescent="0.25"/>
  <cols>
    <col min="3" max="3" width="9.42578125" bestFit="1" customWidth="1"/>
  </cols>
  <sheetData>
    <row r="3" spans="2:4" x14ac:dyDescent="0.25">
      <c r="B3" t="s">
        <v>0</v>
      </c>
      <c r="C3" t="s">
        <v>1</v>
      </c>
      <c r="D3" t="s">
        <v>2</v>
      </c>
    </row>
    <row r="4" spans="2:4" x14ac:dyDescent="0.25">
      <c r="B4" t="s">
        <v>4</v>
      </c>
      <c r="C4" s="1">
        <v>45908</v>
      </c>
      <c r="D4">
        <v>30</v>
      </c>
    </row>
    <row r="5" spans="2:4" x14ac:dyDescent="0.25">
      <c r="B5" t="s">
        <v>3</v>
      </c>
      <c r="C5" s="1">
        <v>45894</v>
      </c>
      <c r="D5">
        <v>17</v>
      </c>
    </row>
    <row r="6" spans="2:4" x14ac:dyDescent="0.25">
      <c r="B6" t="s">
        <v>5</v>
      </c>
      <c r="C6" s="1">
        <v>45894</v>
      </c>
      <c r="D6">
        <v>24</v>
      </c>
    </row>
    <row r="7" spans="2:4" x14ac:dyDescent="0.25">
      <c r="B7" t="s">
        <v>4</v>
      </c>
      <c r="C7" s="1">
        <v>45894</v>
      </c>
      <c r="D7">
        <v>19</v>
      </c>
    </row>
    <row r="8" spans="2:4" x14ac:dyDescent="0.25">
      <c r="B8" t="s">
        <v>3</v>
      </c>
      <c r="C8" s="1">
        <v>45908</v>
      </c>
      <c r="D8">
        <v>19</v>
      </c>
    </row>
    <row r="9" spans="2:4" x14ac:dyDescent="0.25">
      <c r="B9" t="s">
        <v>5</v>
      </c>
      <c r="C9" s="1">
        <v>45908</v>
      </c>
      <c r="D9">
        <v>35</v>
      </c>
    </row>
    <row r="10" spans="2:4" x14ac:dyDescent="0.25">
      <c r="B10" t="s">
        <v>4</v>
      </c>
      <c r="C10" s="1">
        <v>45880</v>
      </c>
      <c r="D10">
        <v>30</v>
      </c>
    </row>
    <row r="11" spans="2:4" x14ac:dyDescent="0.25">
      <c r="B11" t="s">
        <v>3</v>
      </c>
      <c r="C11" s="1">
        <v>45894</v>
      </c>
      <c r="D11">
        <v>19</v>
      </c>
    </row>
    <row r="12" spans="2:4" x14ac:dyDescent="0.25">
      <c r="B12" t="s">
        <v>5</v>
      </c>
      <c r="C12" s="1">
        <v>45908</v>
      </c>
      <c r="D1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5F68-9BAC-466F-8574-60B0854DB067}">
  <sheetPr filterMode="1"/>
  <dimension ref="A1:I31"/>
  <sheetViews>
    <sheetView workbookViewId="0">
      <selection activeCell="C2" sqref="C2"/>
    </sheetView>
  </sheetViews>
  <sheetFormatPr defaultRowHeight="15" x14ac:dyDescent="0.25"/>
  <cols>
    <col min="2" max="2" width="10.42578125" bestFit="1" customWidth="1"/>
    <col min="3" max="3" width="8.7109375" customWidth="1"/>
    <col min="7" max="7" width="10.42578125" bestFit="1" customWidth="1"/>
  </cols>
  <sheetData>
    <row r="1" spans="1:9" x14ac:dyDescent="0.25">
      <c r="A1" t="s">
        <v>6</v>
      </c>
      <c r="B1" t="s">
        <v>7</v>
      </c>
      <c r="C1" t="s">
        <v>2</v>
      </c>
      <c r="D1" t="s">
        <v>17</v>
      </c>
    </row>
    <row r="2" spans="1:9" x14ac:dyDescent="0.25">
      <c r="A2" t="s">
        <v>5</v>
      </c>
      <c r="B2" s="1">
        <v>45989</v>
      </c>
      <c r="C2">
        <v>17</v>
      </c>
      <c r="D2">
        <v>277</v>
      </c>
      <c r="F2" t="str" cm="1">
        <f t="array" ref="F2:I14">_xlfn._xlws.SORT(_xlfn._xlws.FILTER(A2:D31,A2:A31="c"),2)</f>
        <v>c</v>
      </c>
      <c r="G2" s="1">
        <v>45989</v>
      </c>
      <c r="H2">
        <v>17</v>
      </c>
      <c r="I2">
        <v>277</v>
      </c>
    </row>
    <row r="3" spans="1:9" x14ac:dyDescent="0.25">
      <c r="A3" t="s">
        <v>5</v>
      </c>
      <c r="B3" s="1">
        <v>46269</v>
      </c>
      <c r="C3">
        <v>16</v>
      </c>
      <c r="D3">
        <v>818</v>
      </c>
      <c r="F3" t="str">
        <v>c</v>
      </c>
      <c r="G3" s="1">
        <v>46024</v>
      </c>
      <c r="H3">
        <v>18</v>
      </c>
      <c r="I3">
        <v>355</v>
      </c>
    </row>
    <row r="4" spans="1:9" x14ac:dyDescent="0.25">
      <c r="A4" t="s">
        <v>5</v>
      </c>
      <c r="B4" s="1">
        <v>46199</v>
      </c>
      <c r="C4">
        <v>12</v>
      </c>
      <c r="D4">
        <v>667</v>
      </c>
      <c r="F4" t="str">
        <v>c</v>
      </c>
      <c r="G4" s="1">
        <v>46024</v>
      </c>
      <c r="H4">
        <v>13</v>
      </c>
      <c r="I4">
        <v>355</v>
      </c>
    </row>
    <row r="5" spans="1:9" hidden="1" x14ac:dyDescent="0.25">
      <c r="A5" t="s">
        <v>4</v>
      </c>
      <c r="B5" s="1">
        <v>45989</v>
      </c>
      <c r="C5">
        <v>20</v>
      </c>
      <c r="D5">
        <v>277</v>
      </c>
      <c r="F5" t="str">
        <v>c</v>
      </c>
      <c r="G5" s="1">
        <v>46094</v>
      </c>
      <c r="H5">
        <v>17</v>
      </c>
      <c r="I5">
        <v>510</v>
      </c>
    </row>
    <row r="6" spans="1:9" x14ac:dyDescent="0.25">
      <c r="A6" t="s">
        <v>5</v>
      </c>
      <c r="B6" s="1">
        <v>46234</v>
      </c>
      <c r="C6">
        <v>14</v>
      </c>
      <c r="D6">
        <v>744</v>
      </c>
      <c r="F6" t="str">
        <v>c</v>
      </c>
      <c r="G6" s="1">
        <v>46164</v>
      </c>
      <c r="H6">
        <v>14</v>
      </c>
      <c r="I6">
        <v>652</v>
      </c>
    </row>
    <row r="7" spans="1:9" x14ac:dyDescent="0.25">
      <c r="A7" t="s">
        <v>5</v>
      </c>
      <c r="B7" s="1">
        <v>46094</v>
      </c>
      <c r="C7">
        <v>17</v>
      </c>
      <c r="D7">
        <v>510</v>
      </c>
      <c r="F7" t="str">
        <v>c</v>
      </c>
      <c r="G7" s="1">
        <v>46199</v>
      </c>
      <c r="H7">
        <v>12</v>
      </c>
      <c r="I7">
        <v>667</v>
      </c>
    </row>
    <row r="8" spans="1:9" hidden="1" x14ac:dyDescent="0.25">
      <c r="A8" t="s">
        <v>4</v>
      </c>
      <c r="B8" s="1">
        <v>45989</v>
      </c>
      <c r="C8">
        <v>17</v>
      </c>
      <c r="D8">
        <v>277</v>
      </c>
      <c r="F8" t="str">
        <v>c</v>
      </c>
      <c r="G8" s="1">
        <v>46234</v>
      </c>
      <c r="H8">
        <v>14</v>
      </c>
      <c r="I8">
        <v>744</v>
      </c>
    </row>
    <row r="9" spans="1:9" x14ac:dyDescent="0.25">
      <c r="A9" t="s">
        <v>5</v>
      </c>
      <c r="B9" s="1">
        <v>46339</v>
      </c>
      <c r="C9">
        <v>17</v>
      </c>
      <c r="D9">
        <v>954</v>
      </c>
      <c r="F9" t="str">
        <v>c</v>
      </c>
      <c r="G9" s="1">
        <v>46234</v>
      </c>
      <c r="H9">
        <v>14</v>
      </c>
      <c r="I9">
        <v>744</v>
      </c>
    </row>
    <row r="10" spans="1:9" hidden="1" x14ac:dyDescent="0.25">
      <c r="A10" t="s">
        <v>4</v>
      </c>
      <c r="B10" s="1">
        <v>46304</v>
      </c>
      <c r="C10">
        <v>10</v>
      </c>
      <c r="D10">
        <v>895</v>
      </c>
      <c r="F10" t="str">
        <v>c</v>
      </c>
      <c r="G10" s="1">
        <v>46234</v>
      </c>
      <c r="H10">
        <v>12</v>
      </c>
      <c r="I10">
        <v>744</v>
      </c>
    </row>
    <row r="11" spans="1:9" hidden="1" x14ac:dyDescent="0.25">
      <c r="A11" t="s">
        <v>3</v>
      </c>
      <c r="B11" s="1">
        <v>46094</v>
      </c>
      <c r="C11">
        <v>33</v>
      </c>
      <c r="D11">
        <v>510</v>
      </c>
      <c r="F11" t="str">
        <v>c</v>
      </c>
      <c r="G11" s="1">
        <v>46269</v>
      </c>
      <c r="H11">
        <v>16</v>
      </c>
      <c r="I11">
        <v>818</v>
      </c>
    </row>
    <row r="12" spans="1:9" hidden="1" x14ac:dyDescent="0.25">
      <c r="A12" t="s">
        <v>4</v>
      </c>
      <c r="B12" s="1">
        <v>45954</v>
      </c>
      <c r="C12">
        <v>12</v>
      </c>
      <c r="D12">
        <v>254</v>
      </c>
      <c r="F12" t="str">
        <v>c</v>
      </c>
      <c r="G12" s="1">
        <v>46269</v>
      </c>
      <c r="H12">
        <v>19</v>
      </c>
      <c r="I12">
        <v>818</v>
      </c>
    </row>
    <row r="13" spans="1:9" hidden="1" x14ac:dyDescent="0.25">
      <c r="A13" t="s">
        <v>3</v>
      </c>
      <c r="B13" s="1">
        <v>46339</v>
      </c>
      <c r="C13">
        <v>20</v>
      </c>
      <c r="D13">
        <v>954</v>
      </c>
      <c r="F13" t="str">
        <v>c</v>
      </c>
      <c r="G13" s="1">
        <v>46304</v>
      </c>
      <c r="H13">
        <v>33</v>
      </c>
      <c r="I13">
        <v>895</v>
      </c>
    </row>
    <row r="14" spans="1:9" hidden="1" x14ac:dyDescent="0.25">
      <c r="A14" t="s">
        <v>4</v>
      </c>
      <c r="B14" s="1">
        <v>46269</v>
      </c>
      <c r="C14">
        <v>19</v>
      </c>
      <c r="D14">
        <v>818</v>
      </c>
      <c r="F14" t="str">
        <v>c</v>
      </c>
      <c r="G14" s="1">
        <v>46339</v>
      </c>
      <c r="H14">
        <v>17</v>
      </c>
      <c r="I14">
        <v>954</v>
      </c>
    </row>
    <row r="15" spans="1:9" hidden="1" x14ac:dyDescent="0.25">
      <c r="A15" t="s">
        <v>3</v>
      </c>
      <c r="B15" s="1">
        <v>46024</v>
      </c>
      <c r="C15">
        <v>16</v>
      </c>
      <c r="D15">
        <v>355</v>
      </c>
    </row>
    <row r="16" spans="1:9" hidden="1" x14ac:dyDescent="0.25">
      <c r="A16" t="s">
        <v>4</v>
      </c>
      <c r="B16" s="1">
        <v>46199</v>
      </c>
      <c r="C16">
        <v>19</v>
      </c>
      <c r="D16">
        <v>667</v>
      </c>
    </row>
    <row r="17" spans="1:4" hidden="1" x14ac:dyDescent="0.25">
      <c r="A17" t="s">
        <v>4</v>
      </c>
      <c r="B17" s="1">
        <v>46129</v>
      </c>
      <c r="C17">
        <v>12</v>
      </c>
      <c r="D17">
        <v>589</v>
      </c>
    </row>
    <row r="18" spans="1:4" x14ac:dyDescent="0.25">
      <c r="A18" t="s">
        <v>5</v>
      </c>
      <c r="B18" s="1">
        <v>46024</v>
      </c>
      <c r="C18">
        <v>18</v>
      </c>
      <c r="D18">
        <v>355</v>
      </c>
    </row>
    <row r="19" spans="1:4" hidden="1" x14ac:dyDescent="0.25">
      <c r="A19" t="s">
        <v>4</v>
      </c>
      <c r="B19" s="1">
        <v>46059</v>
      </c>
      <c r="C19">
        <v>18</v>
      </c>
      <c r="D19">
        <v>476</v>
      </c>
    </row>
    <row r="20" spans="1:4" x14ac:dyDescent="0.25">
      <c r="A20" t="s">
        <v>5</v>
      </c>
      <c r="B20" s="1">
        <v>46234</v>
      </c>
      <c r="C20">
        <v>14</v>
      </c>
      <c r="D20">
        <v>744</v>
      </c>
    </row>
    <row r="21" spans="1:4" x14ac:dyDescent="0.25">
      <c r="A21" t="s">
        <v>5</v>
      </c>
      <c r="B21" s="1">
        <v>46234</v>
      </c>
      <c r="C21">
        <v>12</v>
      </c>
      <c r="D21">
        <v>744</v>
      </c>
    </row>
    <row r="22" spans="1:4" hidden="1" x14ac:dyDescent="0.25">
      <c r="A22" t="s">
        <v>3</v>
      </c>
      <c r="B22" s="1">
        <v>46129</v>
      </c>
      <c r="C22">
        <v>36</v>
      </c>
      <c r="D22">
        <v>589</v>
      </c>
    </row>
    <row r="23" spans="1:4" hidden="1" x14ac:dyDescent="0.25">
      <c r="A23" t="s">
        <v>3</v>
      </c>
      <c r="B23" s="1">
        <v>46059</v>
      </c>
      <c r="C23">
        <v>35</v>
      </c>
      <c r="D23">
        <v>476</v>
      </c>
    </row>
    <row r="24" spans="1:4" x14ac:dyDescent="0.25">
      <c r="A24" t="s">
        <v>5</v>
      </c>
      <c r="B24" s="1">
        <v>46304</v>
      </c>
      <c r="C24">
        <v>33</v>
      </c>
      <c r="D24">
        <v>895</v>
      </c>
    </row>
    <row r="25" spans="1:4" hidden="1" x14ac:dyDescent="0.25">
      <c r="A25" t="s">
        <v>3</v>
      </c>
      <c r="B25" s="1">
        <v>46339</v>
      </c>
      <c r="C25">
        <v>17</v>
      </c>
      <c r="D25">
        <v>954</v>
      </c>
    </row>
    <row r="26" spans="1:4" hidden="1" x14ac:dyDescent="0.25">
      <c r="A26" t="s">
        <v>3</v>
      </c>
      <c r="B26" s="1">
        <v>45932</v>
      </c>
      <c r="C26">
        <v>2</v>
      </c>
      <c r="D26">
        <v>250</v>
      </c>
    </row>
    <row r="27" spans="1:4" hidden="1" x14ac:dyDescent="0.25">
      <c r="A27" t="s">
        <v>4</v>
      </c>
      <c r="B27" s="1">
        <v>45954</v>
      </c>
      <c r="C27">
        <v>15</v>
      </c>
      <c r="D27">
        <v>254</v>
      </c>
    </row>
    <row r="28" spans="1:4" x14ac:dyDescent="0.25">
      <c r="A28" t="s">
        <v>5</v>
      </c>
      <c r="B28" s="1">
        <v>46164</v>
      </c>
      <c r="C28">
        <v>14</v>
      </c>
      <c r="D28">
        <v>652</v>
      </c>
    </row>
    <row r="29" spans="1:4" x14ac:dyDescent="0.25">
      <c r="A29" t="s">
        <v>5</v>
      </c>
      <c r="B29" s="1">
        <v>46024</v>
      </c>
      <c r="C29">
        <v>13</v>
      </c>
      <c r="D29">
        <v>355</v>
      </c>
    </row>
    <row r="30" spans="1:4" x14ac:dyDescent="0.25">
      <c r="A30" t="s">
        <v>5</v>
      </c>
      <c r="B30" s="1">
        <v>46269</v>
      </c>
      <c r="C30">
        <v>19</v>
      </c>
      <c r="D30">
        <v>818</v>
      </c>
    </row>
    <row r="31" spans="1:4" hidden="1" x14ac:dyDescent="0.25">
      <c r="A31" t="s">
        <v>4</v>
      </c>
      <c r="B31" s="1">
        <v>46024</v>
      </c>
      <c r="C31">
        <v>11</v>
      </c>
      <c r="D31">
        <v>355</v>
      </c>
    </row>
  </sheetData>
  <autoFilter ref="A1:C31" xr:uid="{93AC5F68-9BAC-466F-8574-60B0854DB067}">
    <filterColumn colId="0">
      <filters>
        <filter val="c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113-9D01-4EDB-95A3-754B0F029862}">
  <sheetPr filterMode="1"/>
  <dimension ref="A1:E51"/>
  <sheetViews>
    <sheetView workbookViewId="0">
      <selection activeCell="E18" sqref="E18"/>
    </sheetView>
  </sheetViews>
  <sheetFormatPr defaultRowHeight="15" x14ac:dyDescent="0.25"/>
  <cols>
    <col min="2" max="2" width="10.42578125" bestFit="1" customWidth="1"/>
  </cols>
  <sheetData>
    <row r="1" spans="1:5" x14ac:dyDescent="0.25">
      <c r="A1" t="s">
        <v>6</v>
      </c>
      <c r="B1" t="s">
        <v>8</v>
      </c>
      <c r="C1" t="s">
        <v>2</v>
      </c>
      <c r="E1" t="s">
        <v>13</v>
      </c>
    </row>
    <row r="2" spans="1:5" x14ac:dyDescent="0.25">
      <c r="A2" t="s">
        <v>3</v>
      </c>
      <c r="B2" s="1">
        <v>46234</v>
      </c>
      <c r="C2" cm="1">
        <f t="array" aca="1" ref="C2:C51" ca="1">IF(E1="Do not shuffle",E2:E51,_xlfn.RANDARRAY(50,1,2,35,TRUE))</f>
        <v>13</v>
      </c>
      <c r="E2">
        <v>13</v>
      </c>
    </row>
    <row r="3" spans="1:5" hidden="1" x14ac:dyDescent="0.25">
      <c r="A3" t="s">
        <v>5</v>
      </c>
      <c r="B3" s="1">
        <v>45982</v>
      </c>
      <c r="C3">
        <f ca="1"/>
        <v>18</v>
      </c>
      <c r="E3">
        <v>18</v>
      </c>
    </row>
    <row r="4" spans="1:5" hidden="1" x14ac:dyDescent="0.25">
      <c r="A4" t="s">
        <v>4</v>
      </c>
      <c r="B4" s="1">
        <v>46370</v>
      </c>
      <c r="C4">
        <f ca="1"/>
        <v>15</v>
      </c>
      <c r="E4">
        <v>15</v>
      </c>
    </row>
    <row r="5" spans="1:5" x14ac:dyDescent="0.25">
      <c r="A5" t="s">
        <v>3</v>
      </c>
      <c r="B5" s="1">
        <v>46016</v>
      </c>
      <c r="C5">
        <f ca="1"/>
        <v>15</v>
      </c>
      <c r="E5">
        <v>15</v>
      </c>
    </row>
    <row r="6" spans="1:5" hidden="1" x14ac:dyDescent="0.25">
      <c r="A6" t="s">
        <v>4</v>
      </c>
      <c r="B6" s="1">
        <v>46303</v>
      </c>
      <c r="C6">
        <f ca="1"/>
        <v>23</v>
      </c>
      <c r="E6">
        <v>23</v>
      </c>
    </row>
    <row r="7" spans="1:5" hidden="1" x14ac:dyDescent="0.25">
      <c r="A7" t="s">
        <v>4</v>
      </c>
      <c r="B7" s="1">
        <v>46349</v>
      </c>
      <c r="C7">
        <f ca="1"/>
        <v>34</v>
      </c>
      <c r="E7">
        <v>34</v>
      </c>
    </row>
    <row r="8" spans="1:5" hidden="1" x14ac:dyDescent="0.25">
      <c r="A8" t="s">
        <v>5</v>
      </c>
      <c r="B8" s="1">
        <v>46202</v>
      </c>
      <c r="C8">
        <f ca="1"/>
        <v>13</v>
      </c>
      <c r="E8">
        <v>13</v>
      </c>
    </row>
    <row r="9" spans="1:5" hidden="1" x14ac:dyDescent="0.25">
      <c r="A9" t="s">
        <v>4</v>
      </c>
      <c r="B9" s="1">
        <v>46223</v>
      </c>
      <c r="C9">
        <f ca="1"/>
        <v>16</v>
      </c>
      <c r="E9">
        <v>16</v>
      </c>
    </row>
    <row r="10" spans="1:5" x14ac:dyDescent="0.25">
      <c r="A10" t="s">
        <v>3</v>
      </c>
      <c r="B10" s="1">
        <v>45960</v>
      </c>
      <c r="C10">
        <f ca="1"/>
        <v>21</v>
      </c>
      <c r="E10">
        <v>21</v>
      </c>
    </row>
    <row r="11" spans="1:5" hidden="1" x14ac:dyDescent="0.25">
      <c r="A11" t="s">
        <v>5</v>
      </c>
      <c r="B11" s="1">
        <v>45972</v>
      </c>
      <c r="C11">
        <f ca="1"/>
        <v>8</v>
      </c>
      <c r="E11">
        <v>8</v>
      </c>
    </row>
    <row r="12" spans="1:5" x14ac:dyDescent="0.25">
      <c r="A12" t="s">
        <v>3</v>
      </c>
      <c r="B12" s="1">
        <v>46035</v>
      </c>
      <c r="C12">
        <f ca="1"/>
        <v>30</v>
      </c>
      <c r="E12">
        <v>30</v>
      </c>
    </row>
    <row r="13" spans="1:5" hidden="1" x14ac:dyDescent="0.25">
      <c r="A13" t="s">
        <v>4</v>
      </c>
      <c r="B13" s="1">
        <v>46419</v>
      </c>
      <c r="C13">
        <f ca="1"/>
        <v>16</v>
      </c>
      <c r="E13">
        <v>16</v>
      </c>
    </row>
    <row r="14" spans="1:5" hidden="1" x14ac:dyDescent="0.25">
      <c r="A14" t="s">
        <v>5</v>
      </c>
      <c r="B14" s="1">
        <v>46266</v>
      </c>
      <c r="C14">
        <f ca="1"/>
        <v>10</v>
      </c>
      <c r="E14">
        <v>10</v>
      </c>
    </row>
    <row r="15" spans="1:5" hidden="1" x14ac:dyDescent="0.25">
      <c r="A15" t="s">
        <v>4</v>
      </c>
      <c r="B15" s="1">
        <v>46170</v>
      </c>
      <c r="C15">
        <f ca="1"/>
        <v>19</v>
      </c>
      <c r="E15">
        <v>19</v>
      </c>
    </row>
    <row r="16" spans="1:5" hidden="1" x14ac:dyDescent="0.25">
      <c r="A16" t="s">
        <v>4</v>
      </c>
      <c r="B16" s="1">
        <v>46317</v>
      </c>
      <c r="C16">
        <f ca="1"/>
        <v>20</v>
      </c>
      <c r="E16">
        <v>20</v>
      </c>
    </row>
    <row r="17" spans="1:5" x14ac:dyDescent="0.25">
      <c r="A17" t="s">
        <v>3</v>
      </c>
      <c r="B17" s="1">
        <v>46315</v>
      </c>
      <c r="C17">
        <f ca="1"/>
        <v>0</v>
      </c>
      <c r="E17">
        <v>0</v>
      </c>
    </row>
    <row r="18" spans="1:5" x14ac:dyDescent="0.25">
      <c r="A18" t="s">
        <v>3</v>
      </c>
      <c r="B18" s="1">
        <v>46254</v>
      </c>
      <c r="C18">
        <f ca="1"/>
        <v>29</v>
      </c>
      <c r="E18">
        <v>29</v>
      </c>
    </row>
    <row r="19" spans="1:5" hidden="1" x14ac:dyDescent="0.25">
      <c r="A19" t="s">
        <v>4</v>
      </c>
      <c r="B19" s="1">
        <v>46027</v>
      </c>
      <c r="C19">
        <f ca="1"/>
        <v>15</v>
      </c>
      <c r="E19">
        <v>15</v>
      </c>
    </row>
    <row r="20" spans="1:5" x14ac:dyDescent="0.25">
      <c r="A20" t="s">
        <v>3</v>
      </c>
      <c r="B20" s="1">
        <v>46035</v>
      </c>
      <c r="C20">
        <f ca="1"/>
        <v>0</v>
      </c>
      <c r="E20">
        <v>0</v>
      </c>
    </row>
    <row r="21" spans="1:5" hidden="1" x14ac:dyDescent="0.25">
      <c r="A21" t="s">
        <v>5</v>
      </c>
      <c r="B21" s="1">
        <v>46245</v>
      </c>
      <c r="C21">
        <f ca="1"/>
        <v>24</v>
      </c>
      <c r="E21">
        <v>24</v>
      </c>
    </row>
    <row r="22" spans="1:5" hidden="1" x14ac:dyDescent="0.25">
      <c r="A22" t="s">
        <v>5</v>
      </c>
      <c r="B22" s="1">
        <v>46262</v>
      </c>
      <c r="C22">
        <f ca="1"/>
        <v>18</v>
      </c>
      <c r="E22">
        <v>18</v>
      </c>
    </row>
    <row r="23" spans="1:5" x14ac:dyDescent="0.25">
      <c r="A23" t="s">
        <v>3</v>
      </c>
      <c r="B23" s="1">
        <v>46120</v>
      </c>
      <c r="C23">
        <f ca="1"/>
        <v>14</v>
      </c>
      <c r="E23">
        <v>14</v>
      </c>
    </row>
    <row r="24" spans="1:5" x14ac:dyDescent="0.25">
      <c r="A24" t="s">
        <v>3</v>
      </c>
      <c r="B24" s="1">
        <v>46266</v>
      </c>
      <c r="C24">
        <f ca="1"/>
        <v>4</v>
      </c>
      <c r="E24">
        <v>4</v>
      </c>
    </row>
    <row r="25" spans="1:5" hidden="1" x14ac:dyDescent="0.25">
      <c r="A25" t="s">
        <v>4</v>
      </c>
      <c r="B25" s="1">
        <v>46286</v>
      </c>
      <c r="C25">
        <f ca="1"/>
        <v>27</v>
      </c>
      <c r="E25">
        <v>27</v>
      </c>
    </row>
    <row r="26" spans="1:5" hidden="1" x14ac:dyDescent="0.25">
      <c r="A26" t="s">
        <v>5</v>
      </c>
      <c r="B26" s="1">
        <v>46120</v>
      </c>
      <c r="C26">
        <f ca="1"/>
        <v>20</v>
      </c>
      <c r="E26">
        <v>20</v>
      </c>
    </row>
    <row r="27" spans="1:5" hidden="1" x14ac:dyDescent="0.25">
      <c r="A27" t="s">
        <v>5</v>
      </c>
      <c r="B27" s="1">
        <v>46336</v>
      </c>
      <c r="C27">
        <f ca="1"/>
        <v>17</v>
      </c>
      <c r="E27">
        <v>17</v>
      </c>
    </row>
    <row r="28" spans="1:5" x14ac:dyDescent="0.25">
      <c r="A28" t="s">
        <v>3</v>
      </c>
      <c r="B28" s="1">
        <v>46097</v>
      </c>
      <c r="C28">
        <f ca="1"/>
        <v>11</v>
      </c>
      <c r="E28">
        <v>11</v>
      </c>
    </row>
    <row r="29" spans="1:5" hidden="1" x14ac:dyDescent="0.25">
      <c r="A29" t="s">
        <v>5</v>
      </c>
      <c r="B29" s="1">
        <v>46380</v>
      </c>
      <c r="C29">
        <f ca="1"/>
        <v>14</v>
      </c>
      <c r="E29">
        <v>14</v>
      </c>
    </row>
    <row r="30" spans="1:5" x14ac:dyDescent="0.25">
      <c r="A30" t="s">
        <v>3</v>
      </c>
      <c r="B30" s="1">
        <v>46296</v>
      </c>
      <c r="C30">
        <f ca="1"/>
        <v>0</v>
      </c>
      <c r="E30">
        <v>0</v>
      </c>
    </row>
    <row r="31" spans="1:5" hidden="1" x14ac:dyDescent="0.25">
      <c r="A31" t="s">
        <v>5</v>
      </c>
      <c r="B31" s="1">
        <v>46246</v>
      </c>
      <c r="C31">
        <f ca="1"/>
        <v>9</v>
      </c>
      <c r="E31">
        <v>9</v>
      </c>
    </row>
    <row r="32" spans="1:5" x14ac:dyDescent="0.25">
      <c r="A32" t="s">
        <v>3</v>
      </c>
      <c r="B32" s="1">
        <v>46279</v>
      </c>
      <c r="C32">
        <f ca="1"/>
        <v>5</v>
      </c>
      <c r="E32">
        <v>5</v>
      </c>
    </row>
    <row r="33" spans="1:5" x14ac:dyDescent="0.25">
      <c r="A33" t="s">
        <v>3</v>
      </c>
      <c r="B33" s="1">
        <v>46101</v>
      </c>
      <c r="C33">
        <f ca="1"/>
        <v>35</v>
      </c>
      <c r="E33">
        <v>35</v>
      </c>
    </row>
    <row r="34" spans="1:5" hidden="1" x14ac:dyDescent="0.25">
      <c r="A34" t="s">
        <v>4</v>
      </c>
      <c r="B34" s="1">
        <v>46030</v>
      </c>
      <c r="C34">
        <f ca="1"/>
        <v>32</v>
      </c>
      <c r="E34">
        <v>32</v>
      </c>
    </row>
    <row r="35" spans="1:5" hidden="1" x14ac:dyDescent="0.25">
      <c r="A35" t="s">
        <v>4</v>
      </c>
      <c r="B35" s="1">
        <v>46198</v>
      </c>
      <c r="C35">
        <f ca="1"/>
        <v>7</v>
      </c>
      <c r="E35">
        <v>7</v>
      </c>
    </row>
    <row r="36" spans="1:5" hidden="1" x14ac:dyDescent="0.25">
      <c r="A36" t="s">
        <v>5</v>
      </c>
      <c r="B36" s="1">
        <v>46400</v>
      </c>
      <c r="C36">
        <f ca="1"/>
        <v>28</v>
      </c>
      <c r="E36">
        <v>28</v>
      </c>
    </row>
    <row r="37" spans="1:5" hidden="1" x14ac:dyDescent="0.25">
      <c r="A37" t="s">
        <v>5</v>
      </c>
      <c r="B37" s="1">
        <v>46272</v>
      </c>
      <c r="C37">
        <f ca="1"/>
        <v>32</v>
      </c>
      <c r="E37">
        <v>32</v>
      </c>
    </row>
    <row r="38" spans="1:5" hidden="1" x14ac:dyDescent="0.25">
      <c r="A38" t="s">
        <v>5</v>
      </c>
      <c r="B38" s="1">
        <v>46134</v>
      </c>
      <c r="C38">
        <f ca="1"/>
        <v>15</v>
      </c>
      <c r="E38">
        <v>15</v>
      </c>
    </row>
    <row r="39" spans="1:5" hidden="1" x14ac:dyDescent="0.25">
      <c r="A39" t="s">
        <v>5</v>
      </c>
      <c r="B39" s="1">
        <v>45974</v>
      </c>
      <c r="C39">
        <f ca="1"/>
        <v>2</v>
      </c>
      <c r="E39">
        <v>2</v>
      </c>
    </row>
    <row r="40" spans="1:5" hidden="1" x14ac:dyDescent="0.25">
      <c r="A40" t="s">
        <v>4</v>
      </c>
      <c r="B40" s="1">
        <v>46237</v>
      </c>
      <c r="C40">
        <f ca="1"/>
        <v>30</v>
      </c>
      <c r="E40">
        <v>30</v>
      </c>
    </row>
    <row r="41" spans="1:5" x14ac:dyDescent="0.25">
      <c r="A41" t="s">
        <v>3</v>
      </c>
      <c r="B41" s="1">
        <v>45940</v>
      </c>
      <c r="C41">
        <f ca="1"/>
        <v>2</v>
      </c>
      <c r="E41">
        <v>2</v>
      </c>
    </row>
    <row r="42" spans="1:5" x14ac:dyDescent="0.25">
      <c r="A42" t="s">
        <v>3</v>
      </c>
      <c r="B42" s="1">
        <v>45945</v>
      </c>
      <c r="C42">
        <f ca="1"/>
        <v>2</v>
      </c>
      <c r="E42">
        <v>2</v>
      </c>
    </row>
    <row r="43" spans="1:5" hidden="1" x14ac:dyDescent="0.25">
      <c r="A43" t="s">
        <v>4</v>
      </c>
      <c r="B43" s="1">
        <v>46142</v>
      </c>
      <c r="C43">
        <f ca="1"/>
        <v>12</v>
      </c>
      <c r="E43">
        <v>12</v>
      </c>
    </row>
    <row r="44" spans="1:5" hidden="1" x14ac:dyDescent="0.25">
      <c r="A44" t="s">
        <v>4</v>
      </c>
      <c r="B44" s="1">
        <v>46252</v>
      </c>
      <c r="C44">
        <f ca="1"/>
        <v>24</v>
      </c>
      <c r="E44">
        <v>24</v>
      </c>
    </row>
    <row r="45" spans="1:5" hidden="1" x14ac:dyDescent="0.25">
      <c r="A45" t="s">
        <v>4</v>
      </c>
      <c r="B45" s="1">
        <v>46423</v>
      </c>
      <c r="C45">
        <f ca="1"/>
        <v>21</v>
      </c>
      <c r="E45">
        <v>21</v>
      </c>
    </row>
    <row r="46" spans="1:5" hidden="1" x14ac:dyDescent="0.25">
      <c r="A46" t="s">
        <v>4</v>
      </c>
      <c r="B46" s="1">
        <v>46394</v>
      </c>
      <c r="C46">
        <f ca="1"/>
        <v>5</v>
      </c>
      <c r="E46">
        <v>5</v>
      </c>
    </row>
    <row r="47" spans="1:5" hidden="1" x14ac:dyDescent="0.25">
      <c r="A47" t="s">
        <v>5</v>
      </c>
      <c r="B47" s="1">
        <v>45994</v>
      </c>
      <c r="C47">
        <f ca="1"/>
        <v>11</v>
      </c>
      <c r="E47">
        <v>11</v>
      </c>
    </row>
    <row r="48" spans="1:5" hidden="1" x14ac:dyDescent="0.25">
      <c r="A48" t="s">
        <v>4</v>
      </c>
      <c r="B48" s="1">
        <v>46316</v>
      </c>
      <c r="C48">
        <f ca="1"/>
        <v>27</v>
      </c>
      <c r="E48">
        <v>27</v>
      </c>
    </row>
    <row r="49" spans="1:5" x14ac:dyDescent="0.25">
      <c r="A49" t="s">
        <v>3</v>
      </c>
      <c r="B49" s="1">
        <v>46317</v>
      </c>
      <c r="C49">
        <f ca="1"/>
        <v>0</v>
      </c>
      <c r="E49">
        <v>0</v>
      </c>
    </row>
    <row r="50" spans="1:5" x14ac:dyDescent="0.25">
      <c r="A50" t="s">
        <v>3</v>
      </c>
      <c r="B50" s="1">
        <v>46072</v>
      </c>
      <c r="C50">
        <f ca="1"/>
        <v>35</v>
      </c>
      <c r="E50">
        <v>35</v>
      </c>
    </row>
    <row r="51" spans="1:5" hidden="1" x14ac:dyDescent="0.25">
      <c r="A51" t="s">
        <v>4</v>
      </c>
      <c r="B51" s="1">
        <v>45953</v>
      </c>
      <c r="C51">
        <f ca="1"/>
        <v>17</v>
      </c>
      <c r="E51">
        <v>17</v>
      </c>
    </row>
  </sheetData>
  <autoFilter ref="A1:C51" xr:uid="{D2BD4113-9D01-4EDB-95A3-754B0F029862}">
    <filterColumn colId="0">
      <filters>
        <filter val="b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D2D5-C176-4B10-B04F-70C7084B8C99}">
  <dimension ref="A1:Q17"/>
  <sheetViews>
    <sheetView tabSelected="1" workbookViewId="0">
      <selection activeCell="B1" sqref="B1"/>
    </sheetView>
  </sheetViews>
  <sheetFormatPr defaultRowHeight="15" x14ac:dyDescent="0.25"/>
  <cols>
    <col min="1" max="1" width="16" bestFit="1" customWidth="1"/>
    <col min="2" max="4" width="9.42578125" bestFit="1" customWidth="1"/>
    <col min="5" max="13" width="9.28515625" bestFit="1" customWidth="1"/>
    <col min="14" max="16" width="9.42578125" bestFit="1" customWidth="1"/>
    <col min="17" max="17" width="9.28515625" bestFit="1" customWidth="1"/>
  </cols>
  <sheetData>
    <row r="1" spans="1:17" x14ac:dyDescent="0.25">
      <c r="A1" t="s">
        <v>6</v>
      </c>
      <c r="B1" s="4" t="s">
        <v>4</v>
      </c>
      <c r="C1" s="3" t="s">
        <v>20</v>
      </c>
    </row>
    <row r="2" spans="1:17" x14ac:dyDescent="0.25">
      <c r="A2" t="s">
        <v>14</v>
      </c>
      <c r="B2" s="4">
        <v>3</v>
      </c>
      <c r="C2" s="3" t="s">
        <v>21</v>
      </c>
    </row>
    <row r="5" spans="1:17" x14ac:dyDescent="0.25">
      <c r="B5" s="1" cm="1">
        <f t="array" ref="B5:Q5">_xlfn.LET(_xlpm.today,DATE(2025,9,20),_xlpm.dates,_xlfn.VSTACK(Supply!A2:B31,Demand!A2:B51),_xlpm.output,_xlfn.MINIFS(INDEX(_xlpm.dates,,2),INDEX(_xlpm.dates,,1),B1),_xlpm.f,_xlfn.LAMBDA(_xlpm.a,_xlfn._xlws.FILTER(INDEX(_xlpm.dates,,2),INDEX(_xlpm.dates,,1)=_xlpm.a)),_xlpm.min,MIN(_xlpm.f(B1)),_xlpm.max,MAX(_xlpm.f(B1)),EDATE(EOMONTH(_xlpm.today,-1)+1,_xlfn.SEQUENCE(,DATEDIF(_xlpm.min,_xlpm.max,"m")+1,0)))</f>
        <v>45901</v>
      </c>
      <c r="C5" s="1">
        <v>45931</v>
      </c>
      <c r="D5" s="1">
        <v>45962</v>
      </c>
      <c r="E5" s="1">
        <v>45992</v>
      </c>
      <c r="F5" s="1">
        <v>46023</v>
      </c>
      <c r="G5" s="1">
        <v>46054</v>
      </c>
      <c r="H5" s="1">
        <v>46082</v>
      </c>
      <c r="I5" s="1">
        <v>46113</v>
      </c>
      <c r="J5" s="1">
        <v>46143</v>
      </c>
      <c r="K5" s="1">
        <v>46174</v>
      </c>
      <c r="L5" s="1">
        <v>46204</v>
      </c>
      <c r="M5" s="1">
        <v>46235</v>
      </c>
      <c r="N5" s="1">
        <v>46266</v>
      </c>
      <c r="O5" s="1">
        <v>46296</v>
      </c>
      <c r="P5" s="1">
        <v>46327</v>
      </c>
      <c r="Q5" s="1">
        <v>46357</v>
      </c>
    </row>
    <row r="6" spans="1:17" x14ac:dyDescent="0.25">
      <c r="A6" t="s">
        <v>9</v>
      </c>
      <c r="B6" cm="1">
        <f t="array" ref="B6:Q6">_xlfn.HSTACK(SUMIFS(OH!D4:D12,OH!B4:B12,B1),_xlfn.MAKEARRAY(1,COUNTA(_xlfn.ANCHORARRAY(B5))-1,_xlfn.LAMBDA(_xlpm.a,_xlpm.b,0)))</f>
        <v>79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10</v>
      </c>
      <c r="B7" cm="1">
        <f t="array" ref="B7:Q7">SUMIFS(Supply!C2:C31,Supply!A2:A31,B1,Supply!B2:B31,"&gt;="&amp;_xlfn.ANCHORARRAY(B5),Supply!B2:B31,"&lt;="&amp;_xlfn.BYCOL(_xlfn.ANCHORARRAY(B5),_xlfn.LAMBDA(_xlpm.a,EOMONTH(_xlpm.a,0))))</f>
        <v>0</v>
      </c>
      <c r="C7">
        <v>27</v>
      </c>
      <c r="D7">
        <v>37</v>
      </c>
      <c r="E7">
        <v>0</v>
      </c>
      <c r="F7">
        <v>11</v>
      </c>
      <c r="G7">
        <v>18</v>
      </c>
      <c r="H7">
        <v>0</v>
      </c>
      <c r="I7">
        <v>12</v>
      </c>
      <c r="J7">
        <v>0</v>
      </c>
      <c r="K7">
        <v>19</v>
      </c>
      <c r="L7">
        <v>0</v>
      </c>
      <c r="M7">
        <v>0</v>
      </c>
      <c r="N7">
        <v>19</v>
      </c>
      <c r="O7">
        <v>10</v>
      </c>
      <c r="P7">
        <v>0</v>
      </c>
      <c r="Q7">
        <v>0</v>
      </c>
    </row>
    <row r="8" spans="1:17" x14ac:dyDescent="0.25">
      <c r="A8" t="s">
        <v>11</v>
      </c>
      <c r="B8" cm="1">
        <f t="array" aca="1" ref="B8:Q8" ca="1">SUMIFS(Demand!C2:C51,Demand!A2:A51,B1,Demand!B2:B51,"&gt;="&amp;_xlfn.ANCHORARRAY(B5),Demand!B2:B51,"&lt;="&amp;_xlfn.BYCOL(_xlfn.ANCHORARRAY(B5),_xlfn.LAMBDA(_xlpm.a,EOMONTH(_xlpm.a,0))))</f>
        <v>0</v>
      </c>
      <c r="C8">
        <f ca="1"/>
        <v>17</v>
      </c>
      <c r="D8">
        <f ca="1"/>
        <v>0</v>
      </c>
      <c r="E8">
        <f ca="1"/>
        <v>0</v>
      </c>
      <c r="F8">
        <f ca="1"/>
        <v>47</v>
      </c>
      <c r="G8">
        <f ca="1"/>
        <v>0</v>
      </c>
      <c r="H8">
        <f ca="1"/>
        <v>0</v>
      </c>
      <c r="I8">
        <f ca="1"/>
        <v>12</v>
      </c>
      <c r="J8">
        <f ca="1"/>
        <v>19</v>
      </c>
      <c r="K8">
        <f ca="1"/>
        <v>7</v>
      </c>
      <c r="L8">
        <f ca="1"/>
        <v>16</v>
      </c>
      <c r="M8">
        <f ca="1"/>
        <v>54</v>
      </c>
      <c r="N8">
        <f ca="1"/>
        <v>27</v>
      </c>
      <c r="O8">
        <f ca="1"/>
        <v>70</v>
      </c>
      <c r="P8">
        <f ca="1"/>
        <v>34</v>
      </c>
      <c r="Q8">
        <f ca="1"/>
        <v>15</v>
      </c>
    </row>
    <row r="10" spans="1:17" x14ac:dyDescent="0.25">
      <c r="A10" t="s">
        <v>12</v>
      </c>
      <c r="B10" cm="1">
        <f t="array" aca="1" ref="B10:Q10" ca="1">_xlfn.SCAN(0,_xlfn.ANCHORARRAY(B6)+_xlfn.ANCHORARRAY(B7)-_xlfn.ANCHORARRAY(B8),_xleta.SUM)</f>
        <v>79</v>
      </c>
      <c r="C10">
        <f ca="1"/>
        <v>89</v>
      </c>
      <c r="D10">
        <f ca="1"/>
        <v>126</v>
      </c>
      <c r="E10">
        <f ca="1"/>
        <v>126</v>
      </c>
      <c r="F10">
        <f ca="1"/>
        <v>90</v>
      </c>
      <c r="G10">
        <f ca="1"/>
        <v>108</v>
      </c>
      <c r="H10">
        <f ca="1"/>
        <v>108</v>
      </c>
      <c r="I10">
        <f ca="1"/>
        <v>108</v>
      </c>
      <c r="J10">
        <f ca="1"/>
        <v>89</v>
      </c>
      <c r="K10">
        <f ca="1"/>
        <v>101</v>
      </c>
      <c r="L10">
        <f ca="1"/>
        <v>85</v>
      </c>
      <c r="M10">
        <f ca="1"/>
        <v>31</v>
      </c>
      <c r="N10">
        <f ca="1"/>
        <v>23</v>
      </c>
      <c r="O10">
        <f ca="1"/>
        <v>-37</v>
      </c>
      <c r="P10">
        <f ca="1"/>
        <v>-71</v>
      </c>
      <c r="Q10">
        <f ca="1"/>
        <v>-86</v>
      </c>
    </row>
    <row r="11" spans="1:17" x14ac:dyDescent="0.25">
      <c r="A11" t="s">
        <v>15</v>
      </c>
      <c r="B11" t="e" cm="1">
        <f t="array" aca="1" ref="B11:Q11" ca="1">_xlfn.LET(_xlpm.min,MIN(_xlfn.DROP(_xlfn.ANCHORARRAY(B10),,B2)),IF(B2=1,_xlfn.ANCHORARRAY(B10),_xlfn.HSTACK(_xlfn.MAKEARRAY(1,B2-1,_xlfn.LAMBDA(_xlpm.a,_xlpm.b,NA())),INDEX(_xlfn.ANCHORARRAY(B10),,B2),_xlfn.DROP(_xlfn.ANCHORARRAY(B10),,B2)-MAX(_xlpm.min,0))))</f>
        <v>#N/A</v>
      </c>
      <c r="C11" t="e">
        <f ca="1"/>
        <v>#N/A</v>
      </c>
      <c r="D11">
        <f ca="1"/>
        <v>126</v>
      </c>
      <c r="E11">
        <f ca="1"/>
        <v>126</v>
      </c>
      <c r="F11">
        <f ca="1"/>
        <v>90</v>
      </c>
      <c r="G11">
        <f ca="1"/>
        <v>108</v>
      </c>
      <c r="H11">
        <f ca="1"/>
        <v>108</v>
      </c>
      <c r="I11">
        <f ca="1"/>
        <v>108</v>
      </c>
      <c r="J11">
        <f ca="1"/>
        <v>89</v>
      </c>
      <c r="K11">
        <f ca="1"/>
        <v>101</v>
      </c>
      <c r="L11">
        <f ca="1"/>
        <v>85</v>
      </c>
      <c r="M11">
        <f ca="1"/>
        <v>31</v>
      </c>
      <c r="N11">
        <f ca="1"/>
        <v>23</v>
      </c>
      <c r="O11">
        <f ca="1"/>
        <v>-37</v>
      </c>
      <c r="P11">
        <f ca="1"/>
        <v>-71</v>
      </c>
      <c r="Q11">
        <f ca="1"/>
        <v>-86</v>
      </c>
    </row>
    <row r="14" spans="1:17" x14ac:dyDescent="0.25">
      <c r="K14" t="s">
        <v>19</v>
      </c>
      <c r="O14" t="s">
        <v>16</v>
      </c>
    </row>
    <row r="15" spans="1:17" x14ac:dyDescent="0.25">
      <c r="L15" t="s">
        <v>18</v>
      </c>
    </row>
    <row r="16" spans="1:17" x14ac:dyDescent="0.25">
      <c r="K16" s="2" cm="1">
        <f t="array" aca="1" ref="K16" ca="1">_xlfn.LET(_xlpm.test_a,_xlfn.IFNA(SIGN(_xlfn.ANCHORARRAY(B11))=-1,FALSE),_xlpm.test_b,_xlfn.HSTACK(_xlfn.IFNA(SIGN(_xlfn.DROP(_xlfn.ANCHORARRAY(B11),,1))=-1,FALSE),FALSE),IFERROR(_xlfn.TOCOL(_xlfn._xlws.FILTER(_xlfn.ANCHORARRAY(B5),NOT(_xlpm.test_a)*_xlpm.test_b)),"No Shortages"))</f>
        <v>46266</v>
      </c>
      <c r="L16" s="1" cm="1">
        <f t="array" aca="1" ref="L16" ca="1">IFERROR(_xlfn.TOCOL(_xlfn._xlws.FILTER(_xlfn.ANCHORARRAY(B5),_xlfn.IFNA((SIGN(_xlfn.ANCHORARRAY(B11))=-1)*(SIGN(_xlfn.HSTACK(_xlfn.DROP(_xlfn.ANCHORARRAY(B11),,1),0))&gt;-1),0))),"")</f>
        <v>46357</v>
      </c>
      <c r="O16" t="str" cm="1">
        <f t="array" aca="1" ref="O16" ca="1">_xlfn.LET(_xlpm.df,_xlfn._xlws.SORT(_xlfn._xlws.FILTER(Supply!A2:D31,Supply!A2:A31=B1),2),IF(ISNUMBER(MATCH(TRUE,_xlfn.ANCHORARRAY(B10)&lt;=0,0)),"No Prods to Cancel",_xlfn.TAKE(INDEX(_xlpm.df,,4),MATCH(65,_xlfn.SCAN(0,INDEX(_xlpm.df,,3),_xleta.SUM),1))))</f>
        <v>No Prods to Cancel</v>
      </c>
    </row>
    <row r="17" spans="11:12" x14ac:dyDescent="0.25">
      <c r="K17" s="1"/>
      <c r="L17" s="1"/>
    </row>
  </sheetData>
  <sheetProtection algorithmName="SHA-512" hashValue="Cxwsr+H54TUjBUD9qheXe/C0SO+CMZcrMpNm85Ky+QywLZ5aG2EUiVYnWwoe7bgOoAWus4X732xaK0D89JSBWg==" saltValue="jdmBthcmoj098DQn7ZmKJQ==" spinCount="100000" sheet="1" objects="1" scenarios="1"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OH</vt:lpstr>
      <vt:lpstr>Supply</vt:lpstr>
      <vt:lpstr>Demand</vt:lpstr>
      <vt:lpstr>Min 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2025-09-18T22:21:29Z</dcterms:created>
  <dcterms:modified xsi:type="dcterms:W3CDTF">2025-09-27T18:58:29Z</dcterms:modified>
</cp:coreProperties>
</file>