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F\Desktop\Excel\"/>
    </mc:Choice>
  </mc:AlternateContent>
  <xr:revisionPtr revIDLastSave="0" documentId="13_ncr:1_{FAD4B4F6-30B3-463F-A702-9308F59ABE0F}" xr6:coauthVersionLast="47" xr6:coauthVersionMax="47" xr10:uidLastSave="{00000000-0000-0000-0000-000000000000}"/>
  <bookViews>
    <workbookView xWindow="-24120" yWindow="-120" windowWidth="24240" windowHeight="13020" xr2:uid="{4C7A1581-7433-4ABA-BE68-43C5F4B97E1B}"/>
  </bookViews>
  <sheets>
    <sheet name="Task" sheetId="1" r:id="rId1"/>
    <sheet name="WC Grouping" sheetId="3" r:id="rId2"/>
    <sheet name="Capacity Lookup (IBP Output)" sheetId="4" r:id="rId3"/>
  </sheets>
  <definedNames>
    <definedName name="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 a="1"/>
  <c r="C7" i="1" s="1"/>
  <c r="A24" i="1" a="1"/>
  <c r="A24" i="1" s="1"/>
  <c r="A8" i="1" s="1" a="1"/>
  <c r="A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<sst xmlns="http://schemas.openxmlformats.org/spreadsheetml/2006/main" count="71" uniqueCount="26">
  <si>
    <t>Work Center</t>
  </si>
  <si>
    <t>a1</t>
  </si>
  <si>
    <t>b2</t>
  </si>
  <si>
    <t>a4</t>
  </si>
  <si>
    <t>c2</t>
  </si>
  <si>
    <t>a3</t>
  </si>
  <si>
    <t>c1</t>
  </si>
  <si>
    <t>a2</t>
  </si>
  <si>
    <t>b1</t>
  </si>
  <si>
    <t>b3</t>
  </si>
  <si>
    <t>PRESS</t>
  </si>
  <si>
    <t>MELT</t>
  </si>
  <si>
    <t>CUT</t>
  </si>
  <si>
    <t>Major Desc</t>
  </si>
  <si>
    <t>Plant Location</t>
  </si>
  <si>
    <t>c3</t>
  </si>
  <si>
    <t>Capacity Available</t>
  </si>
  <si>
    <t>Capacity Used</t>
  </si>
  <si>
    <t>The ask:</t>
  </si>
  <si>
    <t xml:space="preserve">For each WC grouping (Melt, Press, Cut) create charts that will display month-over-month each work center groupings available and used capacity </t>
  </si>
  <si>
    <t>Plant</t>
  </si>
  <si>
    <t>Metric</t>
  </si>
  <si>
    <t>-- inputs could be 'melt','press', 'cut'</t>
  </si>
  <si>
    <t>melt</t>
  </si>
  <si>
    <t>*Data Wrangling</t>
  </si>
  <si>
    <t>--If the datasets I was pulling were of significant size this would be filtered for the specified work center group in 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</si>
</sst>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quotePrefix="1"/>
    <xf numFmtId="0" fontId="0" fillId="2" borderId="0" xfId="0" applyFill="1" applyProtection="1">
      <protection locked="0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Filled</a:t>
            </a:r>
            <a:r>
              <a:rPr lang="en-US" baseline="0"/>
              <a:t> Capacity by Plant </a:t>
            </a:r>
            <a:endParaRPr lang="en-US"/>
          </a:p>
        </c:rich>
      </c:tx>
      <c:layout>
        <c:manualLayout>
          <c:xMode val="edge"/>
          <c:yMode val="edge"/>
          <c:x val="0.2950137795275590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Task!$A$8:$B$8</c:f>
              <c:strCache>
                <c:ptCount val="2"/>
                <c:pt idx="0">
                  <c:v>13</c:v>
                </c:pt>
                <c:pt idx="1">
                  <c:v>Avail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Task!$C$6:$N$7</c:f>
              <c:strCache>
                <c:ptCount val="12"/>
                <c:pt idx="0">
                  <c:v>Sep
FY26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
FY27</c:v>
                </c:pt>
                <c:pt idx="11">
                  <c:v>Aug</c:v>
                </c:pt>
              </c:strCache>
            </c:strRef>
          </c:cat>
          <c:val>
            <c:numRef>
              <c:f>Task!$C$8:$N$8</c:f>
              <c:numCache>
                <c:formatCode>General</c:formatCode>
                <c:ptCount val="1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F-4ED4-9F7A-D1EE9FE54FD8}"/>
            </c:ext>
          </c:extLst>
        </c:ser>
        <c:ser>
          <c:idx val="2"/>
          <c:order val="2"/>
          <c:tx>
            <c:strRef>
              <c:f>Task!$A$10:$B$10</c:f>
              <c:strCache>
                <c:ptCount val="2"/>
                <c:pt idx="0">
                  <c:v>15</c:v>
                </c:pt>
                <c:pt idx="1">
                  <c:v>Avail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Task!$C$6:$N$7</c:f>
              <c:strCache>
                <c:ptCount val="12"/>
                <c:pt idx="0">
                  <c:v>Sep
FY26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
FY27</c:v>
                </c:pt>
                <c:pt idx="11">
                  <c:v>Aug</c:v>
                </c:pt>
              </c:strCache>
            </c:strRef>
          </c:cat>
          <c:val>
            <c:numRef>
              <c:f>Task!$C$10:$N$10</c:f>
              <c:numCache>
                <c:formatCode>General</c:formatCode>
                <c:ptCount val="12"/>
                <c:pt idx="0">
                  <c:v>456</c:v>
                </c:pt>
                <c:pt idx="1">
                  <c:v>456</c:v>
                </c:pt>
                <c:pt idx="2">
                  <c:v>456</c:v>
                </c:pt>
                <c:pt idx="3">
                  <c:v>456</c:v>
                </c:pt>
                <c:pt idx="4">
                  <c:v>456</c:v>
                </c:pt>
                <c:pt idx="5">
                  <c:v>456</c:v>
                </c:pt>
                <c:pt idx="6">
                  <c:v>456</c:v>
                </c:pt>
                <c:pt idx="7">
                  <c:v>456</c:v>
                </c:pt>
                <c:pt idx="8">
                  <c:v>456</c:v>
                </c:pt>
                <c:pt idx="9">
                  <c:v>456</c:v>
                </c:pt>
                <c:pt idx="10">
                  <c:v>456</c:v>
                </c:pt>
                <c:pt idx="11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6F-4ED4-9F7A-D1EE9FE54FD8}"/>
            </c:ext>
          </c:extLst>
        </c:ser>
        <c:ser>
          <c:idx val="4"/>
          <c:order val="4"/>
          <c:tx>
            <c:strRef>
              <c:f>Task!$A$12:$B$12</c:f>
              <c:strCache>
                <c:ptCount val="2"/>
                <c:pt idx="0">
                  <c:v>17</c:v>
                </c:pt>
                <c:pt idx="1">
                  <c:v>Avail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Task!$C$6:$N$7</c:f>
              <c:strCache>
                <c:ptCount val="12"/>
                <c:pt idx="0">
                  <c:v>Sep
FY26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
FY27</c:v>
                </c:pt>
                <c:pt idx="11">
                  <c:v>Aug</c:v>
                </c:pt>
              </c:strCache>
            </c:strRef>
          </c:cat>
          <c:val>
            <c:numRef>
              <c:f>Task!$C$12:$N$12</c:f>
              <c:numCache>
                <c:formatCode>General</c:formatCode>
                <c:ptCount val="1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6F-4ED4-9F7A-D1EE9FE54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47737152"/>
        <c:axId val="1147746272"/>
      </c:barChart>
      <c:lineChart>
        <c:grouping val="stacked"/>
        <c:varyColors val="0"/>
        <c:ser>
          <c:idx val="1"/>
          <c:order val="1"/>
          <c:tx>
            <c:strRef>
              <c:f>Task!$A$9:$B$9</c:f>
              <c:strCache>
                <c:ptCount val="2"/>
                <c:pt idx="0">
                  <c:v>13</c:v>
                </c:pt>
                <c:pt idx="1">
                  <c:v>Usage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Task!$C$9:$N$9</c:f>
              <c:numCache>
                <c:formatCode>General</c:formatCode>
                <c:ptCount val="12"/>
                <c:pt idx="0">
                  <c:v>488</c:v>
                </c:pt>
                <c:pt idx="1">
                  <c:v>442</c:v>
                </c:pt>
                <c:pt idx="2">
                  <c:v>491</c:v>
                </c:pt>
                <c:pt idx="3">
                  <c:v>375</c:v>
                </c:pt>
                <c:pt idx="4">
                  <c:v>361</c:v>
                </c:pt>
                <c:pt idx="5">
                  <c:v>372</c:v>
                </c:pt>
                <c:pt idx="6">
                  <c:v>486</c:v>
                </c:pt>
                <c:pt idx="7">
                  <c:v>491</c:v>
                </c:pt>
                <c:pt idx="8">
                  <c:v>384</c:v>
                </c:pt>
                <c:pt idx="9">
                  <c:v>422</c:v>
                </c:pt>
                <c:pt idx="10">
                  <c:v>459</c:v>
                </c:pt>
                <c:pt idx="11">
                  <c:v>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6F-4ED4-9F7A-D1EE9FE54FD8}"/>
            </c:ext>
          </c:extLst>
        </c:ser>
        <c:ser>
          <c:idx val="3"/>
          <c:order val="3"/>
          <c:tx>
            <c:strRef>
              <c:f>Task!$A$11:$B$11</c:f>
              <c:strCache>
                <c:ptCount val="2"/>
                <c:pt idx="0">
                  <c:v>15</c:v>
                </c:pt>
                <c:pt idx="1">
                  <c:v>Usage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Task!$C$11:$N$11</c:f>
              <c:numCache>
                <c:formatCode>General</c:formatCode>
                <c:ptCount val="12"/>
                <c:pt idx="0">
                  <c:v>430</c:v>
                </c:pt>
                <c:pt idx="1">
                  <c:v>442</c:v>
                </c:pt>
                <c:pt idx="2">
                  <c:v>468</c:v>
                </c:pt>
                <c:pt idx="3">
                  <c:v>449</c:v>
                </c:pt>
                <c:pt idx="4">
                  <c:v>357</c:v>
                </c:pt>
                <c:pt idx="5">
                  <c:v>412</c:v>
                </c:pt>
                <c:pt idx="6">
                  <c:v>456</c:v>
                </c:pt>
                <c:pt idx="7">
                  <c:v>404</c:v>
                </c:pt>
                <c:pt idx="8">
                  <c:v>435</c:v>
                </c:pt>
                <c:pt idx="9">
                  <c:v>355</c:v>
                </c:pt>
                <c:pt idx="10">
                  <c:v>374</c:v>
                </c:pt>
                <c:pt idx="11">
                  <c:v>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6F-4ED4-9F7A-D1EE9FE54FD8}"/>
            </c:ext>
          </c:extLst>
        </c:ser>
        <c:ser>
          <c:idx val="5"/>
          <c:order val="5"/>
          <c:tx>
            <c:strRef>
              <c:f>Task!$A$13:$B$13</c:f>
              <c:strCache>
                <c:ptCount val="2"/>
                <c:pt idx="0">
                  <c:v>17</c:v>
                </c:pt>
                <c:pt idx="1">
                  <c:v>Usage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Task!$C$13:$N$13</c:f>
              <c:numCache>
                <c:formatCode>General</c:formatCode>
                <c:ptCount val="12"/>
                <c:pt idx="0">
                  <c:v>384</c:v>
                </c:pt>
                <c:pt idx="1">
                  <c:v>497</c:v>
                </c:pt>
                <c:pt idx="2">
                  <c:v>466</c:v>
                </c:pt>
                <c:pt idx="3">
                  <c:v>458</c:v>
                </c:pt>
                <c:pt idx="4">
                  <c:v>445</c:v>
                </c:pt>
                <c:pt idx="5">
                  <c:v>386</c:v>
                </c:pt>
                <c:pt idx="6">
                  <c:v>447</c:v>
                </c:pt>
                <c:pt idx="7">
                  <c:v>370</c:v>
                </c:pt>
                <c:pt idx="8">
                  <c:v>446</c:v>
                </c:pt>
                <c:pt idx="9">
                  <c:v>456</c:v>
                </c:pt>
                <c:pt idx="10">
                  <c:v>412</c:v>
                </c:pt>
                <c:pt idx="11">
                  <c:v>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6F-4ED4-9F7A-D1EE9FE54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737152"/>
        <c:axId val="1147746272"/>
      </c:lineChart>
      <c:catAx>
        <c:axId val="114773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46272"/>
        <c:crosses val="autoZero"/>
        <c:auto val="1"/>
        <c:lblAlgn val="ctr"/>
        <c:lblOffset val="100"/>
        <c:noMultiLvlLbl val="0"/>
      </c:catAx>
      <c:valAx>
        <c:axId val="114774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3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371475</xdr:colOff>
      <xdr:row>3</xdr:row>
      <xdr:rowOff>100012</xdr:rowOff>
    </xdr:from>
    <xdr:to>
      <xdr:col>22</xdr:col>
      <xdr:colOff>66675</xdr:colOff>
      <xdr:row>17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C96FA-56E0-0222-52E5-34DF4299A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F36B-B5D2-47C8-AE57-C4F511DC0078}">
  <dimension ref="A1:P43"/>
  <sheetViews>
    <sheetView tabSelected="1" workbookViewId="0">
      <selection activeCell="C8" sqref="C8"/>
    </sheetView>
  </sheetViews>
  <sheetFormatPr defaultRowHeight="15" x14ac:dyDescent="0.25"/>
  <cols>
    <col min="3" max="3" width="9.42578125" bestFit="1" customWidth="1"/>
  </cols>
  <sheetData>
    <row r="1" spans="1:14" x14ac:dyDescent="0.25">
      <c r="A1" s="3" t="s">
        <v>18</v>
      </c>
      <c r="B1" s="3" t="s">
        <v>19</v>
      </c>
    </row>
    <row r="5" spans="1:14" x14ac:dyDescent="0.25">
      <c r="A5" s="5" t="s">
        <v>23</v>
      </c>
      <c r="B5" s="4" t="s">
        <v>22</v>
      </c>
    </row>
    <row r="7" spans="1:14" x14ac:dyDescent="0.25">
      <c r="A7" t="s">
        <v>20</v>
      </c>
      <c r="B7" t="s">
        <v>21</v>
      </c>
      <c r="C7" s="1" t="str" cm="1">
        <f t="array" ref="C7:N7">_xlfn.LET(_xlpm.mths,'Capacity Lookup (IBP Output)'!C2:N2,TEXT(_xlpm.mths,"mmm")&amp;IF(_xlfn.REGEXTEST(TEXT(_xlpm.mths,"MMM"),"Sep|Jul"),CHAR(10)&amp;"FY"&amp;TEXT(_xlfn.BYCOL(_xlpm.mths,_xlfn.LAMBDA(_xlpm.a,EOMONTH(_xlpm.a,6))),"yy"),""))</f>
        <v>Sep
FY26</v>
      </c>
      <c r="D7" t="str">
        <v>Oct</v>
      </c>
      <c r="E7" t="str">
        <v>Nov</v>
      </c>
      <c r="F7" t="str">
        <v>Dec</v>
      </c>
      <c r="G7" t="str">
        <v>Jan</v>
      </c>
      <c r="H7" t="str">
        <v>Feb</v>
      </c>
      <c r="I7" t="str">
        <v>Mar</v>
      </c>
      <c r="J7" t="str">
        <v>Apr</v>
      </c>
      <c r="K7" t="str">
        <v>May</v>
      </c>
      <c r="L7" t="str">
        <v>Jun</v>
      </c>
      <c r="M7" t="str">
        <v>Jul
FY27</v>
      </c>
      <c r="N7" t="str">
        <v>Aug</v>
      </c>
    </row>
    <row r="8" spans="1:14" x14ac:dyDescent="0.25">
      <c r="A8" cm="1">
        <f t="array" aca="1" ref="A8:N13" ca="1">_xlfn.LET(_xlpm.df,_xlfn._xlws.FILTER(_xlfn.ANCHORARRAY(A24),INDEX(_xlfn.ANCHORARRAY(A24),,2)=A5),_xlfn.GROUPBY(_xlfn.CHOOSECOLS(_xlpm.df,3,4),_xlfn.DROP(_xlpm.df,,4),_xleta.SUM,0,0))</f>
        <v>13</v>
      </c>
      <c r="B8" t="str">
        <f ca="1"/>
        <v>Avail</v>
      </c>
      <c r="C8">
        <f ca="1"/>
        <v>480</v>
      </c>
      <c r="D8">
        <f ca="1"/>
        <v>480</v>
      </c>
      <c r="E8">
        <f ca="1"/>
        <v>480</v>
      </c>
      <c r="F8">
        <f ca="1"/>
        <v>480</v>
      </c>
      <c r="G8">
        <f ca="1"/>
        <v>480</v>
      </c>
      <c r="H8">
        <f ca="1"/>
        <v>480</v>
      </c>
      <c r="I8">
        <f ca="1"/>
        <v>480</v>
      </c>
      <c r="J8">
        <f ca="1"/>
        <v>480</v>
      </c>
      <c r="K8">
        <f ca="1"/>
        <v>480</v>
      </c>
      <c r="L8">
        <f ca="1"/>
        <v>480</v>
      </c>
      <c r="M8">
        <f ca="1"/>
        <v>480</v>
      </c>
      <c r="N8">
        <f ca="1"/>
        <v>480</v>
      </c>
    </row>
    <row r="9" spans="1:14" x14ac:dyDescent="0.25">
      <c r="A9">
        <f ca="1"/>
        <v>13</v>
      </c>
      <c r="B9" t="str">
        <f ca="1"/>
        <v>Usage</v>
      </c>
      <c r="C9">
        <f ca="1"/>
        <v>488</v>
      </c>
      <c r="D9">
        <f ca="1"/>
        <v>442</v>
      </c>
      <c r="E9">
        <f ca="1"/>
        <v>491</v>
      </c>
      <c r="F9">
        <f ca="1"/>
        <v>375</v>
      </c>
      <c r="G9">
        <f ca="1"/>
        <v>361</v>
      </c>
      <c r="H9">
        <f ca="1"/>
        <v>372</v>
      </c>
      <c r="I9">
        <f ca="1"/>
        <v>486</v>
      </c>
      <c r="J9">
        <f ca="1"/>
        <v>491</v>
      </c>
      <c r="K9">
        <f ca="1"/>
        <v>384</v>
      </c>
      <c r="L9">
        <f ca="1"/>
        <v>422</v>
      </c>
      <c r="M9">
        <f ca="1"/>
        <v>459</v>
      </c>
      <c r="N9">
        <f ca="1"/>
        <v>408</v>
      </c>
    </row>
    <row r="10" spans="1:14" x14ac:dyDescent="0.25">
      <c r="A10">
        <f ca="1"/>
        <v>15</v>
      </c>
      <c r="B10" t="str">
        <f ca="1"/>
        <v>Avail</v>
      </c>
      <c r="C10">
        <f ca="1"/>
        <v>456</v>
      </c>
      <c r="D10">
        <f ca="1"/>
        <v>456</v>
      </c>
      <c r="E10">
        <f ca="1"/>
        <v>456</v>
      </c>
      <c r="F10">
        <f ca="1"/>
        <v>456</v>
      </c>
      <c r="G10">
        <f ca="1"/>
        <v>456</v>
      </c>
      <c r="H10">
        <f ca="1"/>
        <v>456</v>
      </c>
      <c r="I10">
        <f ca="1"/>
        <v>456</v>
      </c>
      <c r="J10">
        <f ca="1"/>
        <v>456</v>
      </c>
      <c r="K10">
        <f ca="1"/>
        <v>456</v>
      </c>
      <c r="L10">
        <f ca="1"/>
        <v>456</v>
      </c>
      <c r="M10">
        <f ca="1"/>
        <v>456</v>
      </c>
      <c r="N10">
        <f ca="1"/>
        <v>456</v>
      </c>
    </row>
    <row r="11" spans="1:14" x14ac:dyDescent="0.25">
      <c r="A11">
        <f ca="1"/>
        <v>15</v>
      </c>
      <c r="B11" t="str">
        <f ca="1"/>
        <v>Usage</v>
      </c>
      <c r="C11">
        <f ca="1"/>
        <v>430</v>
      </c>
      <c r="D11">
        <f ca="1"/>
        <v>442</v>
      </c>
      <c r="E11">
        <f ca="1"/>
        <v>468</v>
      </c>
      <c r="F11">
        <f ca="1"/>
        <v>449</v>
      </c>
      <c r="G11">
        <f ca="1"/>
        <v>357</v>
      </c>
      <c r="H11">
        <f ca="1"/>
        <v>412</v>
      </c>
      <c r="I11">
        <f ca="1"/>
        <v>456</v>
      </c>
      <c r="J11">
        <f ca="1"/>
        <v>404</v>
      </c>
      <c r="K11">
        <f ca="1"/>
        <v>435</v>
      </c>
      <c r="L11">
        <f ca="1"/>
        <v>355</v>
      </c>
      <c r="M11">
        <f ca="1"/>
        <v>374</v>
      </c>
      <c r="N11">
        <f ca="1"/>
        <v>475</v>
      </c>
    </row>
    <row r="12" spans="1:14" x14ac:dyDescent="0.25">
      <c r="A12">
        <f ca="1"/>
        <v>17</v>
      </c>
      <c r="B12" t="str">
        <f ca="1"/>
        <v>Avail</v>
      </c>
      <c r="C12">
        <f ca="1"/>
        <v>480</v>
      </c>
      <c r="D12">
        <f ca="1"/>
        <v>480</v>
      </c>
      <c r="E12">
        <f ca="1"/>
        <v>480</v>
      </c>
      <c r="F12">
        <f ca="1"/>
        <v>480</v>
      </c>
      <c r="G12">
        <f ca="1"/>
        <v>480</v>
      </c>
      <c r="H12">
        <f ca="1"/>
        <v>480</v>
      </c>
      <c r="I12">
        <f ca="1"/>
        <v>480</v>
      </c>
      <c r="J12">
        <f ca="1"/>
        <v>480</v>
      </c>
      <c r="K12">
        <f ca="1"/>
        <v>480</v>
      </c>
      <c r="L12">
        <f ca="1"/>
        <v>480</v>
      </c>
      <c r="M12">
        <f ca="1"/>
        <v>480</v>
      </c>
      <c r="N12">
        <f ca="1"/>
        <v>480</v>
      </c>
    </row>
    <row r="13" spans="1:14" x14ac:dyDescent="0.25">
      <c r="A13">
        <f ca="1"/>
        <v>17</v>
      </c>
      <c r="B13" t="str">
        <f ca="1"/>
        <v>Usage</v>
      </c>
      <c r="C13">
        <f ca="1"/>
        <v>384</v>
      </c>
      <c r="D13">
        <f ca="1"/>
        <v>497</v>
      </c>
      <c r="E13">
        <f ca="1"/>
        <v>466</v>
      </c>
      <c r="F13">
        <f ca="1"/>
        <v>458</v>
      </c>
      <c r="G13">
        <f ca="1"/>
        <v>445</v>
      </c>
      <c r="H13">
        <f ca="1"/>
        <v>386</v>
      </c>
      <c r="I13">
        <f ca="1"/>
        <v>447</v>
      </c>
      <c r="J13">
        <f ca="1"/>
        <v>370</v>
      </c>
      <c r="K13">
        <f ca="1"/>
        <v>446</v>
      </c>
      <c r="L13">
        <f ca="1"/>
        <v>456</v>
      </c>
      <c r="M13">
        <f ca="1"/>
        <v>412</v>
      </c>
      <c r="N13">
        <f ca="1"/>
        <v>406</v>
      </c>
    </row>
    <row r="21" spans="1:16" x14ac:dyDescent="0.25">
      <c r="A21" s="3" t="s">
        <v>24</v>
      </c>
      <c r="C21" s="6" t="s">
        <v>25</v>
      </c>
    </row>
    <row r="24" spans="1:16" x14ac:dyDescent="0.25">
      <c r="A24" t="str" cm="1">
        <f t="array" aca="1" ref="A24:P43" ca="1">_xlfn.LET(_xlpm.df,'WC Grouping'!A2:C11,_xlfn.HSTACK(_xlfn._xlws.SORT(_xlfn.VSTACK(_xlpm.df,_xlpm.df)),CHOOSE(MOD(_xlfn.SEQUENCE(ROWS(_xlpm.df)*2,,0),2)+1,"Avail","Usage"),_xlfn.DROP(_xlfn.REDUCE({0},_xlfn.SEQUENCE(ROWS(_xlpm.df)),_xlfn.LAMBDA(_xlpm.a,_xlpm.n,_xlfn.VSTACK(_xlpm.a,OFFSET('Capacity Lookup (IBP Output)'!A2,MATCH(INDEX(_xlpm.df,_xlpm.n,1),'Capacity Lookup (IBP Output)'!A3:A22,0),2,2,12)))),1)))</f>
        <v>a1</v>
      </c>
      <c r="B24" t="str">
        <f ca="1"/>
        <v>PRESS</v>
      </c>
      <c r="C24">
        <f ca="1"/>
        <v>13</v>
      </c>
      <c r="D24" t="str">
        <f ca="1"/>
        <v>Avail</v>
      </c>
      <c r="E24">
        <f ca="1"/>
        <v>480</v>
      </c>
      <c r="F24">
        <f ca="1"/>
        <v>496</v>
      </c>
      <c r="G24">
        <f ca="1"/>
        <v>480</v>
      </c>
      <c r="H24">
        <f ca="1"/>
        <v>496</v>
      </c>
      <c r="I24">
        <f ca="1"/>
        <v>496</v>
      </c>
      <c r="J24">
        <f ca="1"/>
        <v>448</v>
      </c>
      <c r="K24">
        <f ca="1"/>
        <v>496</v>
      </c>
      <c r="L24">
        <f ca="1"/>
        <v>480</v>
      </c>
      <c r="M24">
        <f ca="1"/>
        <v>496</v>
      </c>
      <c r="N24">
        <f ca="1"/>
        <v>480</v>
      </c>
      <c r="O24">
        <f ca="1"/>
        <v>496</v>
      </c>
      <c r="P24">
        <f ca="1"/>
        <v>496</v>
      </c>
    </row>
    <row r="25" spans="1:16" x14ac:dyDescent="0.25">
      <c r="A25" t="str">
        <f ca="1"/>
        <v>a1</v>
      </c>
      <c r="B25" t="str">
        <f ca="1"/>
        <v>PRESS</v>
      </c>
      <c r="C25">
        <f ca="1"/>
        <v>13</v>
      </c>
      <c r="D25" t="str">
        <f ca="1"/>
        <v>Usage</v>
      </c>
      <c r="E25">
        <f ca="1"/>
        <v>502</v>
      </c>
      <c r="F25">
        <f ca="1"/>
        <v>386</v>
      </c>
      <c r="G25">
        <f ca="1"/>
        <v>488</v>
      </c>
      <c r="H25">
        <f ca="1"/>
        <v>378</v>
      </c>
      <c r="I25">
        <f ca="1"/>
        <v>380</v>
      </c>
      <c r="J25">
        <f ca="1"/>
        <v>418</v>
      </c>
      <c r="K25">
        <f ca="1"/>
        <v>431</v>
      </c>
      <c r="L25">
        <f ca="1"/>
        <v>489</v>
      </c>
      <c r="M25">
        <f ca="1"/>
        <v>459</v>
      </c>
      <c r="N25">
        <f ca="1"/>
        <v>457</v>
      </c>
      <c r="O25">
        <f ca="1"/>
        <v>477</v>
      </c>
      <c r="P25">
        <f ca="1"/>
        <v>518</v>
      </c>
    </row>
    <row r="26" spans="1:16" x14ac:dyDescent="0.25">
      <c r="A26" t="str">
        <f ca="1"/>
        <v>a2</v>
      </c>
      <c r="B26" t="str">
        <f ca="1"/>
        <v>PRESS</v>
      </c>
      <c r="C26">
        <f ca="1"/>
        <v>15</v>
      </c>
      <c r="D26" t="str">
        <f ca="1"/>
        <v>Avail</v>
      </c>
      <c r="E26">
        <f ca="1"/>
        <v>472</v>
      </c>
      <c r="F26">
        <f ca="1"/>
        <v>472</v>
      </c>
      <c r="G26">
        <f ca="1"/>
        <v>472</v>
      </c>
      <c r="H26">
        <f ca="1"/>
        <v>472</v>
      </c>
      <c r="I26">
        <f ca="1"/>
        <v>472</v>
      </c>
      <c r="J26">
        <f ca="1"/>
        <v>472</v>
      </c>
      <c r="K26">
        <f ca="1"/>
        <v>472</v>
      </c>
      <c r="L26">
        <f ca="1"/>
        <v>472</v>
      </c>
      <c r="M26">
        <f ca="1"/>
        <v>472</v>
      </c>
      <c r="N26">
        <f ca="1"/>
        <v>472</v>
      </c>
      <c r="O26">
        <f ca="1"/>
        <v>472</v>
      </c>
      <c r="P26">
        <f ca="1"/>
        <v>472</v>
      </c>
    </row>
    <row r="27" spans="1:16" x14ac:dyDescent="0.25">
      <c r="A27" t="str">
        <f ca="1"/>
        <v>a2</v>
      </c>
      <c r="B27" t="str">
        <f ca="1"/>
        <v>PRESS</v>
      </c>
      <c r="C27">
        <f ca="1"/>
        <v>15</v>
      </c>
      <c r="D27" t="str">
        <f ca="1"/>
        <v>Usage</v>
      </c>
      <c r="E27">
        <f ca="1"/>
        <v>491</v>
      </c>
      <c r="F27">
        <f ca="1"/>
        <v>440</v>
      </c>
      <c r="G27">
        <f ca="1"/>
        <v>424</v>
      </c>
      <c r="H27">
        <f ca="1"/>
        <v>358</v>
      </c>
      <c r="I27">
        <f ca="1"/>
        <v>439</v>
      </c>
      <c r="J27">
        <f ca="1"/>
        <v>387</v>
      </c>
      <c r="K27">
        <f ca="1"/>
        <v>366</v>
      </c>
      <c r="L27">
        <f ca="1"/>
        <v>371</v>
      </c>
      <c r="M27">
        <f ca="1"/>
        <v>443</v>
      </c>
      <c r="N27">
        <f ca="1"/>
        <v>381</v>
      </c>
      <c r="O27">
        <f ca="1"/>
        <v>494</v>
      </c>
      <c r="P27">
        <f ca="1"/>
        <v>419</v>
      </c>
    </row>
    <row r="28" spans="1:16" x14ac:dyDescent="0.25">
      <c r="A28" t="str">
        <f ca="1"/>
        <v>a3</v>
      </c>
      <c r="B28" t="str">
        <f ca="1"/>
        <v>MELT</v>
      </c>
      <c r="C28">
        <f ca="1"/>
        <v>17</v>
      </c>
      <c r="D28" t="str">
        <f ca="1"/>
        <v>Avail</v>
      </c>
      <c r="E28">
        <f ca="1"/>
        <v>480</v>
      </c>
      <c r="F28">
        <f ca="1"/>
        <v>480</v>
      </c>
      <c r="G28">
        <f ca="1"/>
        <v>480</v>
      </c>
      <c r="H28">
        <f ca="1"/>
        <v>480</v>
      </c>
      <c r="I28">
        <f ca="1"/>
        <v>480</v>
      </c>
      <c r="J28">
        <f ca="1"/>
        <v>480</v>
      </c>
      <c r="K28">
        <f ca="1"/>
        <v>480</v>
      </c>
      <c r="L28">
        <f ca="1"/>
        <v>480</v>
      </c>
      <c r="M28">
        <f ca="1"/>
        <v>480</v>
      </c>
      <c r="N28">
        <f ca="1"/>
        <v>480</v>
      </c>
      <c r="O28">
        <f ca="1"/>
        <v>480</v>
      </c>
      <c r="P28">
        <f ca="1"/>
        <v>480</v>
      </c>
    </row>
    <row r="29" spans="1:16" x14ac:dyDescent="0.25">
      <c r="A29" t="str">
        <f ca="1"/>
        <v>a3</v>
      </c>
      <c r="B29" t="str">
        <f ca="1"/>
        <v>MELT</v>
      </c>
      <c r="C29">
        <f ca="1"/>
        <v>17</v>
      </c>
      <c r="D29" t="str">
        <f ca="1"/>
        <v>Usage</v>
      </c>
      <c r="E29">
        <f ca="1"/>
        <v>384</v>
      </c>
      <c r="F29">
        <f ca="1"/>
        <v>497</v>
      </c>
      <c r="G29">
        <f ca="1"/>
        <v>466</v>
      </c>
      <c r="H29">
        <f ca="1"/>
        <v>458</v>
      </c>
      <c r="I29">
        <f ca="1"/>
        <v>445</v>
      </c>
      <c r="J29">
        <f ca="1"/>
        <v>386</v>
      </c>
      <c r="K29">
        <f ca="1"/>
        <v>447</v>
      </c>
      <c r="L29">
        <f ca="1"/>
        <v>370</v>
      </c>
      <c r="M29">
        <f ca="1"/>
        <v>446</v>
      </c>
      <c r="N29">
        <f ca="1"/>
        <v>456</v>
      </c>
      <c r="O29">
        <f ca="1"/>
        <v>412</v>
      </c>
      <c r="P29">
        <f ca="1"/>
        <v>406</v>
      </c>
    </row>
    <row r="30" spans="1:16" x14ac:dyDescent="0.25">
      <c r="A30" t="str">
        <f ca="1"/>
        <v>a4</v>
      </c>
      <c r="B30" t="str">
        <f ca="1"/>
        <v>MELT</v>
      </c>
      <c r="C30">
        <f ca="1"/>
        <v>13</v>
      </c>
      <c r="D30" t="str">
        <f ca="1"/>
        <v>Avail</v>
      </c>
      <c r="E30">
        <f ca="1"/>
        <v>480</v>
      </c>
      <c r="F30">
        <f ca="1"/>
        <v>480</v>
      </c>
      <c r="G30">
        <f ca="1"/>
        <v>480</v>
      </c>
      <c r="H30">
        <f ca="1"/>
        <v>480</v>
      </c>
      <c r="I30">
        <f ca="1"/>
        <v>480</v>
      </c>
      <c r="J30">
        <f ca="1"/>
        <v>480</v>
      </c>
      <c r="K30">
        <f ca="1"/>
        <v>480</v>
      </c>
      <c r="L30">
        <f ca="1"/>
        <v>480</v>
      </c>
      <c r="M30">
        <f ca="1"/>
        <v>480</v>
      </c>
      <c r="N30">
        <f ca="1"/>
        <v>480</v>
      </c>
      <c r="O30">
        <f ca="1"/>
        <v>480</v>
      </c>
      <c r="P30">
        <f ca="1"/>
        <v>480</v>
      </c>
    </row>
    <row r="31" spans="1:16" x14ac:dyDescent="0.25">
      <c r="A31" t="str">
        <f ca="1"/>
        <v>a4</v>
      </c>
      <c r="B31" t="str">
        <f ca="1"/>
        <v>MELT</v>
      </c>
      <c r="C31">
        <f ca="1"/>
        <v>13</v>
      </c>
      <c r="D31" t="str">
        <f ca="1"/>
        <v>Usage</v>
      </c>
      <c r="E31">
        <f ca="1"/>
        <v>488</v>
      </c>
      <c r="F31">
        <f ca="1"/>
        <v>442</v>
      </c>
      <c r="G31">
        <f ca="1"/>
        <v>491</v>
      </c>
      <c r="H31">
        <f ca="1"/>
        <v>375</v>
      </c>
      <c r="I31">
        <f ca="1"/>
        <v>361</v>
      </c>
      <c r="J31">
        <f ca="1"/>
        <v>372</v>
      </c>
      <c r="K31">
        <f ca="1"/>
        <v>486</v>
      </c>
      <c r="L31">
        <f ca="1"/>
        <v>491</v>
      </c>
      <c r="M31">
        <f ca="1"/>
        <v>384</v>
      </c>
      <c r="N31">
        <f ca="1"/>
        <v>422</v>
      </c>
      <c r="O31">
        <f ca="1"/>
        <v>459</v>
      </c>
      <c r="P31">
        <f ca="1"/>
        <v>408</v>
      </c>
    </row>
    <row r="32" spans="1:16" x14ac:dyDescent="0.25">
      <c r="A32" t="str">
        <f ca="1"/>
        <v>b1</v>
      </c>
      <c r="B32" t="str">
        <f ca="1"/>
        <v>CUT</v>
      </c>
      <c r="C32">
        <f ca="1"/>
        <v>13</v>
      </c>
      <c r="D32" t="str">
        <f ca="1"/>
        <v>Avail</v>
      </c>
      <c r="E32">
        <f ca="1"/>
        <v>464</v>
      </c>
      <c r="F32">
        <f ca="1"/>
        <v>464</v>
      </c>
      <c r="G32">
        <f ca="1"/>
        <v>464</v>
      </c>
      <c r="H32">
        <f ca="1"/>
        <v>464</v>
      </c>
      <c r="I32">
        <f ca="1"/>
        <v>464</v>
      </c>
      <c r="J32">
        <f ca="1"/>
        <v>464</v>
      </c>
      <c r="K32">
        <f ca="1"/>
        <v>464</v>
      </c>
      <c r="L32">
        <f ca="1"/>
        <v>464</v>
      </c>
      <c r="M32">
        <f ca="1"/>
        <v>464</v>
      </c>
      <c r="N32">
        <f ca="1"/>
        <v>464</v>
      </c>
      <c r="O32">
        <f ca="1"/>
        <v>464</v>
      </c>
      <c r="P32">
        <f ca="1"/>
        <v>464</v>
      </c>
    </row>
    <row r="33" spans="1:16" x14ac:dyDescent="0.25">
      <c r="A33" t="str">
        <f ca="1"/>
        <v>b1</v>
      </c>
      <c r="B33" t="str">
        <f ca="1"/>
        <v>CUT</v>
      </c>
      <c r="C33">
        <f ca="1"/>
        <v>13</v>
      </c>
      <c r="D33" t="str">
        <f ca="1"/>
        <v>Usage</v>
      </c>
      <c r="E33">
        <f ca="1"/>
        <v>401</v>
      </c>
      <c r="F33">
        <f ca="1"/>
        <v>471</v>
      </c>
      <c r="G33">
        <f ca="1"/>
        <v>371</v>
      </c>
      <c r="H33">
        <f ca="1"/>
        <v>435</v>
      </c>
      <c r="I33">
        <f ca="1"/>
        <v>483</v>
      </c>
      <c r="J33">
        <f ca="1"/>
        <v>410</v>
      </c>
      <c r="K33">
        <f ca="1"/>
        <v>388</v>
      </c>
      <c r="L33">
        <f ca="1"/>
        <v>376</v>
      </c>
      <c r="M33">
        <f ca="1"/>
        <v>449</v>
      </c>
      <c r="N33">
        <f ca="1"/>
        <v>393</v>
      </c>
      <c r="O33">
        <f ca="1"/>
        <v>397</v>
      </c>
      <c r="P33">
        <f ca="1"/>
        <v>460</v>
      </c>
    </row>
    <row r="34" spans="1:16" x14ac:dyDescent="0.25">
      <c r="A34" t="str">
        <f ca="1"/>
        <v>b2</v>
      </c>
      <c r="B34" t="str">
        <f ca="1"/>
        <v>CUT</v>
      </c>
      <c r="C34">
        <f ca="1"/>
        <v>15</v>
      </c>
      <c r="D34" t="str">
        <f ca="1"/>
        <v>Avail</v>
      </c>
      <c r="E34">
        <f ca="1"/>
        <v>480</v>
      </c>
      <c r="F34">
        <f ca="1"/>
        <v>480</v>
      </c>
      <c r="G34">
        <f ca="1"/>
        <v>480</v>
      </c>
      <c r="H34">
        <f ca="1"/>
        <v>480</v>
      </c>
      <c r="I34">
        <f ca="1"/>
        <v>480</v>
      </c>
      <c r="J34">
        <f ca="1"/>
        <v>480</v>
      </c>
      <c r="K34">
        <f ca="1"/>
        <v>480</v>
      </c>
      <c r="L34">
        <f ca="1"/>
        <v>480</v>
      </c>
      <c r="M34">
        <f ca="1"/>
        <v>480</v>
      </c>
      <c r="N34">
        <f ca="1"/>
        <v>480</v>
      </c>
      <c r="O34">
        <f ca="1"/>
        <v>480</v>
      </c>
      <c r="P34">
        <f ca="1"/>
        <v>480</v>
      </c>
    </row>
    <row r="35" spans="1:16" x14ac:dyDescent="0.25">
      <c r="A35" t="str">
        <f ca="1"/>
        <v>b2</v>
      </c>
      <c r="B35" t="str">
        <f ca="1"/>
        <v>CUT</v>
      </c>
      <c r="C35">
        <f ca="1"/>
        <v>15</v>
      </c>
      <c r="D35" t="str">
        <f ca="1"/>
        <v>Usage</v>
      </c>
      <c r="E35">
        <f ca="1"/>
        <v>387</v>
      </c>
      <c r="F35">
        <f ca="1"/>
        <v>456</v>
      </c>
      <c r="G35">
        <f ca="1"/>
        <v>363</v>
      </c>
      <c r="H35">
        <f ca="1"/>
        <v>464</v>
      </c>
      <c r="I35">
        <f ca="1"/>
        <v>465</v>
      </c>
      <c r="J35">
        <f ca="1"/>
        <v>484</v>
      </c>
      <c r="K35">
        <f ca="1"/>
        <v>389</v>
      </c>
      <c r="L35">
        <f ca="1"/>
        <v>417</v>
      </c>
      <c r="M35">
        <f ca="1"/>
        <v>471</v>
      </c>
      <c r="N35">
        <f ca="1"/>
        <v>477</v>
      </c>
      <c r="O35">
        <f ca="1"/>
        <v>401</v>
      </c>
      <c r="P35">
        <f ca="1"/>
        <v>432</v>
      </c>
    </row>
    <row r="36" spans="1:16" x14ac:dyDescent="0.25">
      <c r="A36" t="str">
        <f ca="1"/>
        <v>b3</v>
      </c>
      <c r="B36" t="str">
        <f ca="1"/>
        <v>PRESS</v>
      </c>
      <c r="C36">
        <f ca="1"/>
        <v>13</v>
      </c>
      <c r="D36" t="str">
        <f ca="1"/>
        <v>Avail</v>
      </c>
      <c r="E36">
        <f ca="1"/>
        <v>480</v>
      </c>
      <c r="F36">
        <f ca="1"/>
        <v>480</v>
      </c>
      <c r="G36">
        <f ca="1"/>
        <v>480</v>
      </c>
      <c r="H36">
        <f ca="1"/>
        <v>480</v>
      </c>
      <c r="I36">
        <f ca="1"/>
        <v>480</v>
      </c>
      <c r="J36">
        <f ca="1"/>
        <v>480</v>
      </c>
      <c r="K36">
        <f ca="1"/>
        <v>480</v>
      </c>
      <c r="L36">
        <f ca="1"/>
        <v>480</v>
      </c>
      <c r="M36">
        <f ca="1"/>
        <v>480</v>
      </c>
      <c r="N36">
        <f ca="1"/>
        <v>480</v>
      </c>
      <c r="O36">
        <f ca="1"/>
        <v>480</v>
      </c>
      <c r="P36">
        <f ca="1"/>
        <v>480</v>
      </c>
    </row>
    <row r="37" spans="1:16" x14ac:dyDescent="0.25">
      <c r="A37" t="str">
        <f ca="1"/>
        <v>b3</v>
      </c>
      <c r="B37" t="str">
        <f ca="1"/>
        <v>PRESS</v>
      </c>
      <c r="C37">
        <f ca="1"/>
        <v>13</v>
      </c>
      <c r="D37" t="str">
        <f ca="1"/>
        <v>Usage</v>
      </c>
      <c r="E37">
        <f ca="1"/>
        <v>377</v>
      </c>
      <c r="F37">
        <f ca="1"/>
        <v>432</v>
      </c>
      <c r="G37">
        <f ca="1"/>
        <v>366</v>
      </c>
      <c r="H37">
        <f ca="1"/>
        <v>362</v>
      </c>
      <c r="I37">
        <f ca="1"/>
        <v>492</v>
      </c>
      <c r="J37">
        <f ca="1"/>
        <v>488</v>
      </c>
      <c r="K37">
        <f ca="1"/>
        <v>503</v>
      </c>
      <c r="L37">
        <f ca="1"/>
        <v>480</v>
      </c>
      <c r="M37">
        <f ca="1"/>
        <v>411</v>
      </c>
      <c r="N37">
        <f ca="1"/>
        <v>437</v>
      </c>
      <c r="O37">
        <f ca="1"/>
        <v>366</v>
      </c>
      <c r="P37">
        <f ca="1"/>
        <v>486</v>
      </c>
    </row>
    <row r="38" spans="1:16" x14ac:dyDescent="0.25">
      <c r="A38" t="str">
        <f ca="1"/>
        <v>c1</v>
      </c>
      <c r="B38" t="str">
        <f ca="1"/>
        <v>MELT</v>
      </c>
      <c r="C38">
        <f ca="1"/>
        <v>15</v>
      </c>
      <c r="D38" t="str">
        <f ca="1"/>
        <v>Avail</v>
      </c>
      <c r="E38">
        <f ca="1"/>
        <v>456</v>
      </c>
      <c r="F38">
        <f ca="1"/>
        <v>456</v>
      </c>
      <c r="G38">
        <f ca="1"/>
        <v>456</v>
      </c>
      <c r="H38">
        <f ca="1"/>
        <v>456</v>
      </c>
      <c r="I38">
        <f ca="1"/>
        <v>456</v>
      </c>
      <c r="J38">
        <f ca="1"/>
        <v>456</v>
      </c>
      <c r="K38">
        <f ca="1"/>
        <v>456</v>
      </c>
      <c r="L38">
        <f ca="1"/>
        <v>456</v>
      </c>
      <c r="M38">
        <f ca="1"/>
        <v>456</v>
      </c>
      <c r="N38">
        <f ca="1"/>
        <v>456</v>
      </c>
      <c r="O38">
        <f ca="1"/>
        <v>456</v>
      </c>
      <c r="P38">
        <f ca="1"/>
        <v>456</v>
      </c>
    </row>
    <row r="39" spans="1:16" x14ac:dyDescent="0.25">
      <c r="A39" t="str">
        <f ca="1"/>
        <v>c1</v>
      </c>
      <c r="B39" t="str">
        <f ca="1"/>
        <v>MELT</v>
      </c>
      <c r="C39">
        <f ca="1"/>
        <v>15</v>
      </c>
      <c r="D39" t="str">
        <f ca="1"/>
        <v>Usage</v>
      </c>
      <c r="E39">
        <f ca="1"/>
        <v>430</v>
      </c>
      <c r="F39">
        <f ca="1"/>
        <v>442</v>
      </c>
      <c r="G39">
        <f ca="1"/>
        <v>468</v>
      </c>
      <c r="H39">
        <f ca="1"/>
        <v>449</v>
      </c>
      <c r="I39">
        <f ca="1"/>
        <v>357</v>
      </c>
      <c r="J39">
        <f ca="1"/>
        <v>412</v>
      </c>
      <c r="K39">
        <f ca="1"/>
        <v>456</v>
      </c>
      <c r="L39">
        <f ca="1"/>
        <v>404</v>
      </c>
      <c r="M39">
        <f ca="1"/>
        <v>435</v>
      </c>
      <c r="N39">
        <f ca="1"/>
        <v>355</v>
      </c>
      <c r="O39">
        <f ca="1"/>
        <v>374</v>
      </c>
      <c r="P39">
        <f ca="1"/>
        <v>475</v>
      </c>
    </row>
    <row r="40" spans="1:16" x14ac:dyDescent="0.25">
      <c r="A40" t="str">
        <f ca="1"/>
        <v>c2</v>
      </c>
      <c r="B40" t="str">
        <f ca="1"/>
        <v>CUT</v>
      </c>
      <c r="C40">
        <f ca="1"/>
        <v>17</v>
      </c>
      <c r="D40" t="str">
        <f ca="1"/>
        <v>Avail</v>
      </c>
      <c r="E40">
        <f ca="1"/>
        <v>480</v>
      </c>
      <c r="F40">
        <f ca="1"/>
        <v>480</v>
      </c>
      <c r="G40">
        <f ca="1"/>
        <v>480</v>
      </c>
      <c r="H40">
        <f ca="1"/>
        <v>480</v>
      </c>
      <c r="I40">
        <f ca="1"/>
        <v>480</v>
      </c>
      <c r="J40">
        <f ca="1"/>
        <v>480</v>
      </c>
      <c r="K40">
        <f ca="1"/>
        <v>480</v>
      </c>
      <c r="L40">
        <f ca="1"/>
        <v>480</v>
      </c>
      <c r="M40">
        <f ca="1"/>
        <v>480</v>
      </c>
      <c r="N40">
        <f ca="1"/>
        <v>480</v>
      </c>
      <c r="O40">
        <f ca="1"/>
        <v>480</v>
      </c>
      <c r="P40">
        <f ca="1"/>
        <v>480</v>
      </c>
    </row>
    <row r="41" spans="1:16" x14ac:dyDescent="0.25">
      <c r="A41" t="str">
        <f ca="1"/>
        <v>c2</v>
      </c>
      <c r="B41" t="str">
        <f ca="1"/>
        <v>CUT</v>
      </c>
      <c r="C41">
        <f ca="1"/>
        <v>17</v>
      </c>
      <c r="D41" t="str">
        <f ca="1"/>
        <v>Usage</v>
      </c>
      <c r="E41">
        <f ca="1"/>
        <v>470</v>
      </c>
      <c r="F41">
        <f ca="1"/>
        <v>424</v>
      </c>
      <c r="G41">
        <f ca="1"/>
        <v>440</v>
      </c>
      <c r="H41">
        <f ca="1"/>
        <v>376</v>
      </c>
      <c r="I41">
        <f ca="1"/>
        <v>413</v>
      </c>
      <c r="J41">
        <f ca="1"/>
        <v>490</v>
      </c>
      <c r="K41">
        <f ca="1"/>
        <v>436</v>
      </c>
      <c r="L41">
        <f ca="1"/>
        <v>430</v>
      </c>
      <c r="M41">
        <f ca="1"/>
        <v>480</v>
      </c>
      <c r="N41">
        <f ca="1"/>
        <v>438</v>
      </c>
      <c r="O41">
        <f ca="1"/>
        <v>435</v>
      </c>
      <c r="P41">
        <f ca="1"/>
        <v>444</v>
      </c>
    </row>
    <row r="42" spans="1:16" x14ac:dyDescent="0.25">
      <c r="A42" t="str">
        <f ca="1"/>
        <v>c3</v>
      </c>
      <c r="B42" t="str">
        <f ca="1"/>
        <v>PRESS</v>
      </c>
      <c r="C42">
        <f ca="1"/>
        <v>17</v>
      </c>
      <c r="D42" t="str">
        <f ca="1"/>
        <v>Avail</v>
      </c>
      <c r="E42">
        <f ca="1"/>
        <v>480</v>
      </c>
      <c r="F42">
        <f ca="1"/>
        <v>480</v>
      </c>
      <c r="G42">
        <f ca="1"/>
        <v>480</v>
      </c>
      <c r="H42">
        <f ca="1"/>
        <v>480</v>
      </c>
      <c r="I42">
        <f ca="1"/>
        <v>480</v>
      </c>
      <c r="J42">
        <f ca="1"/>
        <v>480</v>
      </c>
      <c r="K42">
        <f ca="1"/>
        <v>480</v>
      </c>
      <c r="L42">
        <f ca="1"/>
        <v>480</v>
      </c>
      <c r="M42">
        <f ca="1"/>
        <v>480</v>
      </c>
      <c r="N42">
        <f ca="1"/>
        <v>480</v>
      </c>
      <c r="O42">
        <f ca="1"/>
        <v>480</v>
      </c>
      <c r="P42">
        <f ca="1"/>
        <v>480</v>
      </c>
    </row>
    <row r="43" spans="1:16" x14ac:dyDescent="0.25">
      <c r="A43" t="str">
        <f ca="1"/>
        <v>c3</v>
      </c>
      <c r="B43" t="str">
        <f ca="1"/>
        <v>PRESS</v>
      </c>
      <c r="C43">
        <f ca="1"/>
        <v>17</v>
      </c>
      <c r="D43" t="str">
        <f ca="1"/>
        <v>Usage</v>
      </c>
      <c r="E43">
        <f ca="1"/>
        <v>475</v>
      </c>
      <c r="F43">
        <f ca="1"/>
        <v>378</v>
      </c>
      <c r="G43">
        <f ca="1"/>
        <v>476</v>
      </c>
      <c r="H43">
        <f ca="1"/>
        <v>477</v>
      </c>
      <c r="I43">
        <f ca="1"/>
        <v>390</v>
      </c>
      <c r="J43">
        <f ca="1"/>
        <v>462</v>
      </c>
      <c r="K43">
        <f ca="1"/>
        <v>477</v>
      </c>
      <c r="L43">
        <f ca="1"/>
        <v>378</v>
      </c>
      <c r="M43">
        <f ca="1"/>
        <v>404</v>
      </c>
      <c r="N43">
        <f ca="1"/>
        <v>489</v>
      </c>
      <c r="O43">
        <f ca="1"/>
        <v>449</v>
      </c>
      <c r="P43">
        <f ca="1"/>
        <v>391</v>
      </c>
    </row>
  </sheetData>
  <sheetProtection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0E16-C48F-4768-AD41-AC6BC29E8C69}">
  <dimension ref="A1:C11"/>
  <sheetViews>
    <sheetView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13</v>
      </c>
      <c r="C1" t="s">
        <v>14</v>
      </c>
    </row>
    <row r="2" spans="1:3" x14ac:dyDescent="0.25">
      <c r="A2" t="s">
        <v>1</v>
      </c>
      <c r="B2" t="s">
        <v>10</v>
      </c>
      <c r="C2">
        <v>13</v>
      </c>
    </row>
    <row r="3" spans="1:3" x14ac:dyDescent="0.25">
      <c r="A3" t="s">
        <v>7</v>
      </c>
      <c r="B3" t="s">
        <v>10</v>
      </c>
      <c r="C3">
        <v>15</v>
      </c>
    </row>
    <row r="4" spans="1:3" x14ac:dyDescent="0.25">
      <c r="A4" t="s">
        <v>5</v>
      </c>
      <c r="B4" t="s">
        <v>11</v>
      </c>
      <c r="C4">
        <v>17</v>
      </c>
    </row>
    <row r="5" spans="1:3" x14ac:dyDescent="0.25">
      <c r="A5" t="s">
        <v>3</v>
      </c>
      <c r="B5" t="s">
        <v>11</v>
      </c>
      <c r="C5">
        <v>13</v>
      </c>
    </row>
    <row r="6" spans="1:3" x14ac:dyDescent="0.25">
      <c r="A6" t="s">
        <v>8</v>
      </c>
      <c r="B6" t="s">
        <v>12</v>
      </c>
      <c r="C6">
        <v>13</v>
      </c>
    </row>
    <row r="7" spans="1:3" x14ac:dyDescent="0.25">
      <c r="A7" t="s">
        <v>2</v>
      </c>
      <c r="B7" t="s">
        <v>12</v>
      </c>
      <c r="C7">
        <v>15</v>
      </c>
    </row>
    <row r="8" spans="1:3" x14ac:dyDescent="0.25">
      <c r="A8" t="s">
        <v>9</v>
      </c>
      <c r="B8" t="s">
        <v>10</v>
      </c>
      <c r="C8">
        <v>13</v>
      </c>
    </row>
    <row r="9" spans="1:3" x14ac:dyDescent="0.25">
      <c r="A9" t="s">
        <v>6</v>
      </c>
      <c r="B9" t="s">
        <v>11</v>
      </c>
      <c r="C9">
        <v>15</v>
      </c>
    </row>
    <row r="10" spans="1:3" x14ac:dyDescent="0.25">
      <c r="A10" t="s">
        <v>4</v>
      </c>
      <c r="B10" t="s">
        <v>12</v>
      </c>
      <c r="C10">
        <v>17</v>
      </c>
    </row>
    <row r="11" spans="1:3" x14ac:dyDescent="0.25">
      <c r="A11" t="s">
        <v>15</v>
      </c>
      <c r="B11" t="s">
        <v>10</v>
      </c>
      <c r="C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AEDD-391A-4F1D-A721-386EB2B74E30}">
  <dimension ref="A2:P22"/>
  <sheetViews>
    <sheetView workbookViewId="0">
      <selection activeCell="C25" sqref="C25"/>
    </sheetView>
  </sheetViews>
  <sheetFormatPr defaultRowHeight="15" x14ac:dyDescent="0.25"/>
  <cols>
    <col min="2" max="2" width="17.42578125" bestFit="1" customWidth="1"/>
    <col min="3" max="3" width="9.28515625" bestFit="1" customWidth="1"/>
    <col min="4" max="6" width="9.42578125" bestFit="1" customWidth="1"/>
    <col min="7" max="14" width="9.28515625" bestFit="1" customWidth="1"/>
  </cols>
  <sheetData>
    <row r="2" spans="1:16" x14ac:dyDescent="0.25">
      <c r="C2" s="1">
        <v>45901</v>
      </c>
      <c r="D2" s="1">
        <v>45931</v>
      </c>
      <c r="E2" s="1">
        <v>45962</v>
      </c>
      <c r="F2" s="1">
        <v>45992</v>
      </c>
      <c r="G2" s="1">
        <v>46023</v>
      </c>
      <c r="H2" s="1">
        <v>46054</v>
      </c>
      <c r="I2" s="1">
        <v>46082</v>
      </c>
      <c r="J2" s="1">
        <v>46113</v>
      </c>
      <c r="K2" s="1">
        <v>46143</v>
      </c>
      <c r="L2" s="1">
        <v>46174</v>
      </c>
      <c r="M2" s="1">
        <v>46204</v>
      </c>
      <c r="N2" s="1">
        <v>46235</v>
      </c>
    </row>
    <row r="3" spans="1:16" x14ac:dyDescent="0.25">
      <c r="A3" t="s">
        <v>1</v>
      </c>
      <c r="B3" t="s">
        <v>16</v>
      </c>
      <c r="C3" s="2">
        <v>480</v>
      </c>
      <c r="D3" s="2">
        <v>496</v>
      </c>
      <c r="E3" s="2">
        <v>480</v>
      </c>
      <c r="F3" s="2">
        <v>496</v>
      </c>
      <c r="G3" s="2">
        <v>496</v>
      </c>
      <c r="H3" s="2">
        <v>448</v>
      </c>
      <c r="I3" s="2">
        <v>496</v>
      </c>
      <c r="J3" s="2">
        <v>480</v>
      </c>
      <c r="K3" s="2">
        <v>496</v>
      </c>
      <c r="L3" s="2">
        <v>480</v>
      </c>
      <c r="M3" s="2">
        <v>496</v>
      </c>
      <c r="N3" s="2">
        <v>496</v>
      </c>
      <c r="P3" s="2"/>
    </row>
    <row r="4" spans="1:16" x14ac:dyDescent="0.25">
      <c r="A4" t="s">
        <v>1</v>
      </c>
      <c r="B4" t="s">
        <v>17</v>
      </c>
      <c r="C4">
        <v>502</v>
      </c>
      <c r="D4">
        <v>386</v>
      </c>
      <c r="E4">
        <v>488</v>
      </c>
      <c r="F4">
        <v>378</v>
      </c>
      <c r="G4">
        <v>380</v>
      </c>
      <c r="H4">
        <v>418</v>
      </c>
      <c r="I4">
        <v>431</v>
      </c>
      <c r="J4">
        <v>489</v>
      </c>
      <c r="K4">
        <v>459</v>
      </c>
      <c r="L4">
        <v>457</v>
      </c>
      <c r="M4">
        <v>477</v>
      </c>
      <c r="N4">
        <v>518</v>
      </c>
    </row>
    <row r="5" spans="1:16" x14ac:dyDescent="0.25">
      <c r="A5" t="s">
        <v>7</v>
      </c>
      <c r="B5" t="s">
        <v>16</v>
      </c>
      <c r="C5" s="2">
        <v>472</v>
      </c>
      <c r="D5" s="2">
        <v>472</v>
      </c>
      <c r="E5" s="2">
        <v>472</v>
      </c>
      <c r="F5" s="2">
        <v>472</v>
      </c>
      <c r="G5" s="2">
        <v>472</v>
      </c>
      <c r="H5" s="2">
        <v>472</v>
      </c>
      <c r="I5" s="2">
        <v>472</v>
      </c>
      <c r="J5" s="2">
        <v>472</v>
      </c>
      <c r="K5" s="2">
        <v>472</v>
      </c>
      <c r="L5" s="2">
        <v>472</v>
      </c>
      <c r="M5" s="2">
        <v>472</v>
      </c>
      <c r="N5" s="2">
        <v>472</v>
      </c>
    </row>
    <row r="6" spans="1:16" x14ac:dyDescent="0.25">
      <c r="A6" t="s">
        <v>7</v>
      </c>
      <c r="B6" t="s">
        <v>17</v>
      </c>
      <c r="C6">
        <v>491</v>
      </c>
      <c r="D6">
        <v>440</v>
      </c>
      <c r="E6">
        <v>424</v>
      </c>
      <c r="F6">
        <v>358</v>
      </c>
      <c r="G6">
        <v>439</v>
      </c>
      <c r="H6">
        <v>387</v>
      </c>
      <c r="I6">
        <v>366</v>
      </c>
      <c r="J6">
        <v>371</v>
      </c>
      <c r="K6">
        <v>443</v>
      </c>
      <c r="L6">
        <v>381</v>
      </c>
      <c r="M6">
        <v>494</v>
      </c>
      <c r="N6">
        <v>419</v>
      </c>
    </row>
    <row r="7" spans="1:16" x14ac:dyDescent="0.25">
      <c r="A7" t="s">
        <v>5</v>
      </c>
      <c r="B7" t="s">
        <v>16</v>
      </c>
      <c r="C7" s="2">
        <v>480</v>
      </c>
      <c r="D7" s="2">
        <v>480</v>
      </c>
      <c r="E7" s="2">
        <v>480</v>
      </c>
      <c r="F7" s="2">
        <v>480</v>
      </c>
      <c r="G7" s="2">
        <v>480</v>
      </c>
      <c r="H7" s="2">
        <v>480</v>
      </c>
      <c r="I7" s="2">
        <v>480</v>
      </c>
      <c r="J7" s="2">
        <v>480</v>
      </c>
      <c r="K7" s="2">
        <v>480</v>
      </c>
      <c r="L7" s="2">
        <v>480</v>
      </c>
      <c r="M7" s="2">
        <v>480</v>
      </c>
      <c r="N7" s="2">
        <v>480</v>
      </c>
    </row>
    <row r="8" spans="1:16" x14ac:dyDescent="0.25">
      <c r="A8" t="s">
        <v>5</v>
      </c>
      <c r="B8" t="s">
        <v>17</v>
      </c>
      <c r="C8">
        <v>384</v>
      </c>
      <c r="D8">
        <v>497</v>
      </c>
      <c r="E8">
        <v>466</v>
      </c>
      <c r="F8">
        <v>458</v>
      </c>
      <c r="G8">
        <v>445</v>
      </c>
      <c r="H8">
        <v>386</v>
      </c>
      <c r="I8">
        <v>447</v>
      </c>
      <c r="J8">
        <v>370</v>
      </c>
      <c r="K8">
        <v>446</v>
      </c>
      <c r="L8">
        <v>456</v>
      </c>
      <c r="M8">
        <v>412</v>
      </c>
      <c r="N8">
        <v>406</v>
      </c>
    </row>
    <row r="9" spans="1:16" x14ac:dyDescent="0.25">
      <c r="A9" t="s">
        <v>3</v>
      </c>
      <c r="B9" t="s">
        <v>16</v>
      </c>
      <c r="C9" s="2">
        <v>480</v>
      </c>
      <c r="D9" s="2">
        <v>480</v>
      </c>
      <c r="E9" s="2">
        <v>480</v>
      </c>
      <c r="F9" s="2">
        <v>480</v>
      </c>
      <c r="G9" s="2">
        <v>480</v>
      </c>
      <c r="H9" s="2">
        <v>480</v>
      </c>
      <c r="I9" s="2">
        <v>480</v>
      </c>
      <c r="J9" s="2">
        <v>480</v>
      </c>
      <c r="K9" s="2">
        <v>480</v>
      </c>
      <c r="L9" s="2">
        <v>480</v>
      </c>
      <c r="M9" s="2">
        <v>480</v>
      </c>
      <c r="N9" s="2">
        <v>480</v>
      </c>
    </row>
    <row r="10" spans="1:16" x14ac:dyDescent="0.25">
      <c r="A10" t="s">
        <v>3</v>
      </c>
      <c r="B10" t="s">
        <v>17</v>
      </c>
      <c r="C10">
        <v>488</v>
      </c>
      <c r="D10">
        <v>442</v>
      </c>
      <c r="E10">
        <v>491</v>
      </c>
      <c r="F10">
        <v>375</v>
      </c>
      <c r="G10">
        <v>361</v>
      </c>
      <c r="H10">
        <v>372</v>
      </c>
      <c r="I10">
        <v>486</v>
      </c>
      <c r="J10">
        <v>491</v>
      </c>
      <c r="K10">
        <v>384</v>
      </c>
      <c r="L10">
        <v>422</v>
      </c>
      <c r="M10">
        <v>459</v>
      </c>
      <c r="N10">
        <v>408</v>
      </c>
    </row>
    <row r="11" spans="1:16" x14ac:dyDescent="0.25">
      <c r="A11" t="s">
        <v>8</v>
      </c>
      <c r="B11" t="s">
        <v>16</v>
      </c>
      <c r="C11" s="2">
        <v>464</v>
      </c>
      <c r="D11" s="2">
        <v>464</v>
      </c>
      <c r="E11" s="2">
        <v>464</v>
      </c>
      <c r="F11" s="2">
        <v>464</v>
      </c>
      <c r="G11" s="2">
        <v>464</v>
      </c>
      <c r="H11" s="2">
        <v>464</v>
      </c>
      <c r="I11" s="2">
        <v>464</v>
      </c>
      <c r="J11" s="2">
        <v>464</v>
      </c>
      <c r="K11" s="2">
        <v>464</v>
      </c>
      <c r="L11" s="2">
        <v>464</v>
      </c>
      <c r="M11" s="2">
        <v>464</v>
      </c>
      <c r="N11" s="2">
        <v>464</v>
      </c>
    </row>
    <row r="12" spans="1:16" x14ac:dyDescent="0.25">
      <c r="A12" t="s">
        <v>8</v>
      </c>
      <c r="B12" t="s">
        <v>17</v>
      </c>
      <c r="C12">
        <v>401</v>
      </c>
      <c r="D12">
        <v>471</v>
      </c>
      <c r="E12">
        <v>371</v>
      </c>
      <c r="F12">
        <v>435</v>
      </c>
      <c r="G12">
        <v>483</v>
      </c>
      <c r="H12">
        <v>410</v>
      </c>
      <c r="I12">
        <v>388</v>
      </c>
      <c r="J12">
        <v>376</v>
      </c>
      <c r="K12">
        <v>449</v>
      </c>
      <c r="L12">
        <v>393</v>
      </c>
      <c r="M12">
        <v>397</v>
      </c>
      <c r="N12">
        <v>460</v>
      </c>
    </row>
    <row r="13" spans="1:16" x14ac:dyDescent="0.25">
      <c r="A13" t="s">
        <v>2</v>
      </c>
      <c r="B13" t="s">
        <v>16</v>
      </c>
      <c r="C13" s="2">
        <v>480</v>
      </c>
      <c r="D13" s="2">
        <v>480</v>
      </c>
      <c r="E13" s="2">
        <v>480</v>
      </c>
      <c r="F13" s="2">
        <v>480</v>
      </c>
      <c r="G13" s="2">
        <v>480</v>
      </c>
      <c r="H13" s="2">
        <v>480</v>
      </c>
      <c r="I13" s="2">
        <v>480</v>
      </c>
      <c r="J13" s="2">
        <v>480</v>
      </c>
      <c r="K13" s="2">
        <v>480</v>
      </c>
      <c r="L13" s="2">
        <v>480</v>
      </c>
      <c r="M13" s="2">
        <v>480</v>
      </c>
      <c r="N13" s="2">
        <v>480</v>
      </c>
    </row>
    <row r="14" spans="1:16" x14ac:dyDescent="0.25">
      <c r="A14" t="s">
        <v>2</v>
      </c>
      <c r="B14" t="s">
        <v>17</v>
      </c>
      <c r="C14">
        <v>387</v>
      </c>
      <c r="D14">
        <v>456</v>
      </c>
      <c r="E14">
        <v>363</v>
      </c>
      <c r="F14">
        <v>464</v>
      </c>
      <c r="G14">
        <v>465</v>
      </c>
      <c r="H14">
        <v>484</v>
      </c>
      <c r="I14">
        <v>389</v>
      </c>
      <c r="J14">
        <v>417</v>
      </c>
      <c r="K14">
        <v>471</v>
      </c>
      <c r="L14">
        <v>477</v>
      </c>
      <c r="M14">
        <v>401</v>
      </c>
      <c r="N14">
        <v>432</v>
      </c>
    </row>
    <row r="15" spans="1:16" x14ac:dyDescent="0.25">
      <c r="A15" t="s">
        <v>9</v>
      </c>
      <c r="B15" t="s">
        <v>16</v>
      </c>
      <c r="C15" s="2">
        <v>480</v>
      </c>
      <c r="D15" s="2">
        <v>480</v>
      </c>
      <c r="E15" s="2">
        <v>480</v>
      </c>
      <c r="F15" s="2">
        <v>480</v>
      </c>
      <c r="G15" s="2">
        <v>480</v>
      </c>
      <c r="H15" s="2">
        <v>480</v>
      </c>
      <c r="I15" s="2">
        <v>480</v>
      </c>
      <c r="J15" s="2">
        <v>480</v>
      </c>
      <c r="K15" s="2">
        <v>480</v>
      </c>
      <c r="L15" s="2">
        <v>480</v>
      </c>
      <c r="M15" s="2">
        <v>480</v>
      </c>
      <c r="N15" s="2">
        <v>480</v>
      </c>
    </row>
    <row r="16" spans="1:16" x14ac:dyDescent="0.25">
      <c r="A16" t="s">
        <v>9</v>
      </c>
      <c r="B16" t="s">
        <v>17</v>
      </c>
      <c r="C16">
        <v>377</v>
      </c>
      <c r="D16">
        <v>432</v>
      </c>
      <c r="E16">
        <v>366</v>
      </c>
      <c r="F16">
        <v>362</v>
      </c>
      <c r="G16">
        <v>492</v>
      </c>
      <c r="H16">
        <v>488</v>
      </c>
      <c r="I16">
        <v>503</v>
      </c>
      <c r="J16">
        <v>480</v>
      </c>
      <c r="K16">
        <v>411</v>
      </c>
      <c r="L16">
        <v>437</v>
      </c>
      <c r="M16">
        <v>366</v>
      </c>
      <c r="N16">
        <v>486</v>
      </c>
    </row>
    <row r="17" spans="1:14" x14ac:dyDescent="0.25">
      <c r="A17" t="s">
        <v>6</v>
      </c>
      <c r="B17" t="s">
        <v>16</v>
      </c>
      <c r="C17" s="2">
        <v>456</v>
      </c>
      <c r="D17" s="2">
        <v>456</v>
      </c>
      <c r="E17" s="2">
        <v>456</v>
      </c>
      <c r="F17" s="2">
        <v>456</v>
      </c>
      <c r="G17" s="2">
        <v>456</v>
      </c>
      <c r="H17" s="2">
        <v>456</v>
      </c>
      <c r="I17" s="2">
        <v>456</v>
      </c>
      <c r="J17" s="2">
        <v>456</v>
      </c>
      <c r="K17" s="2">
        <v>456</v>
      </c>
      <c r="L17" s="2">
        <v>456</v>
      </c>
      <c r="M17" s="2">
        <v>456</v>
      </c>
      <c r="N17" s="2">
        <v>456</v>
      </c>
    </row>
    <row r="18" spans="1:14" x14ac:dyDescent="0.25">
      <c r="A18" t="s">
        <v>6</v>
      </c>
      <c r="B18" t="s">
        <v>17</v>
      </c>
      <c r="C18">
        <v>430</v>
      </c>
      <c r="D18">
        <v>442</v>
      </c>
      <c r="E18">
        <v>468</v>
      </c>
      <c r="F18">
        <v>449</v>
      </c>
      <c r="G18">
        <v>357</v>
      </c>
      <c r="H18">
        <v>412</v>
      </c>
      <c r="I18">
        <v>456</v>
      </c>
      <c r="J18">
        <v>404</v>
      </c>
      <c r="K18">
        <v>435</v>
      </c>
      <c r="L18">
        <v>355</v>
      </c>
      <c r="M18">
        <v>374</v>
      </c>
      <c r="N18">
        <v>475</v>
      </c>
    </row>
    <row r="19" spans="1:14" x14ac:dyDescent="0.25">
      <c r="A19" t="s">
        <v>4</v>
      </c>
      <c r="B19" t="s">
        <v>16</v>
      </c>
      <c r="C19" s="2">
        <v>480</v>
      </c>
      <c r="D19" s="2">
        <v>480</v>
      </c>
      <c r="E19" s="2">
        <v>480</v>
      </c>
      <c r="F19" s="2">
        <v>480</v>
      </c>
      <c r="G19" s="2">
        <v>480</v>
      </c>
      <c r="H19" s="2">
        <v>480</v>
      </c>
      <c r="I19" s="2">
        <v>480</v>
      </c>
      <c r="J19" s="2">
        <v>480</v>
      </c>
      <c r="K19" s="2">
        <v>480</v>
      </c>
      <c r="L19" s="2">
        <v>480</v>
      </c>
      <c r="M19" s="2">
        <v>480</v>
      </c>
      <c r="N19" s="2">
        <v>480</v>
      </c>
    </row>
    <row r="20" spans="1:14" x14ac:dyDescent="0.25">
      <c r="A20" t="s">
        <v>4</v>
      </c>
      <c r="B20" t="s">
        <v>17</v>
      </c>
      <c r="C20">
        <v>470</v>
      </c>
      <c r="D20">
        <v>424</v>
      </c>
      <c r="E20">
        <v>440</v>
      </c>
      <c r="F20">
        <v>376</v>
      </c>
      <c r="G20">
        <v>413</v>
      </c>
      <c r="H20">
        <v>490</v>
      </c>
      <c r="I20">
        <v>436</v>
      </c>
      <c r="J20">
        <v>430</v>
      </c>
      <c r="K20">
        <v>480</v>
      </c>
      <c r="L20">
        <v>438</v>
      </c>
      <c r="M20">
        <v>435</v>
      </c>
      <c r="N20">
        <v>444</v>
      </c>
    </row>
    <row r="21" spans="1:14" x14ac:dyDescent="0.25">
      <c r="A21" t="s">
        <v>15</v>
      </c>
      <c r="B21" t="s">
        <v>16</v>
      </c>
      <c r="C21" s="2">
        <v>480</v>
      </c>
      <c r="D21" s="2">
        <v>480</v>
      </c>
      <c r="E21" s="2">
        <v>480</v>
      </c>
      <c r="F21" s="2">
        <v>480</v>
      </c>
      <c r="G21" s="2">
        <v>480</v>
      </c>
      <c r="H21" s="2">
        <v>480</v>
      </c>
      <c r="I21" s="2">
        <v>480</v>
      </c>
      <c r="J21" s="2">
        <v>480</v>
      </c>
      <c r="K21" s="2">
        <v>480</v>
      </c>
      <c r="L21" s="2">
        <v>480</v>
      </c>
      <c r="M21" s="2">
        <v>480</v>
      </c>
      <c r="N21" s="2">
        <v>480</v>
      </c>
    </row>
    <row r="22" spans="1:14" x14ac:dyDescent="0.25">
      <c r="A22" t="s">
        <v>15</v>
      </c>
      <c r="B22" t="s">
        <v>17</v>
      </c>
      <c r="C22">
        <v>475</v>
      </c>
      <c r="D22">
        <v>378</v>
      </c>
      <c r="E22">
        <v>476</v>
      </c>
      <c r="F22">
        <v>477</v>
      </c>
      <c r="G22">
        <v>390</v>
      </c>
      <c r="H22">
        <v>462</v>
      </c>
      <c r="I22">
        <v>477</v>
      </c>
      <c r="J22">
        <v>378</v>
      </c>
      <c r="K22">
        <v>404</v>
      </c>
      <c r="L22">
        <v>489</v>
      </c>
      <c r="M22">
        <v>449</v>
      </c>
      <c r="N22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WC Grouping</vt:lpstr>
      <vt:lpstr>Capacity Lookup (IBP Output)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2025-09-18T22:21:29Z</dcterms:created>
  <dcterms:modified xsi:type="dcterms:W3CDTF">2025-10-18T19:48:36Z</dcterms:modified>
</cp:coreProperties>
</file>